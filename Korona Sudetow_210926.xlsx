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Wojtek\MY\Grzbiet_Sudetów\Korona Sudetów\"/>
    </mc:Choice>
  </mc:AlternateContent>
  <xr:revisionPtr revIDLastSave="0" documentId="8_{D499F937-3075-4EA2-83C0-53D2FD5461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orona Sudetów" sheetId="1" r:id="rId1"/>
    <sheet name="Kandydaci" sheetId="2" r:id="rId2"/>
  </sheets>
  <definedNames>
    <definedName name="_xlnm._FilterDatabase" localSheetId="0" hidden="1">'Korona Sudetów'!$A$3:$Z$54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5" i="2" l="1"/>
  <c r="R24" i="2"/>
  <c r="R23" i="2"/>
  <c r="R22" i="2"/>
  <c r="R21" i="2"/>
  <c r="R20" i="2"/>
  <c r="R19" i="2"/>
  <c r="R18" i="2"/>
  <c r="R17" i="2"/>
  <c r="R16" i="2"/>
  <c r="Q15" i="2"/>
  <c r="Q14" i="2"/>
  <c r="Q13" i="2"/>
  <c r="R32" i="1"/>
  <c r="P12" i="2"/>
  <c r="P11" i="2"/>
  <c r="R36" i="1"/>
  <c r="R28" i="1"/>
  <c r="R52" i="1"/>
  <c r="P10" i="2"/>
  <c r="R40" i="1"/>
  <c r="R29" i="1"/>
  <c r="R6" i="1"/>
  <c r="R39" i="1"/>
  <c r="R38" i="1"/>
  <c r="R37" i="1"/>
  <c r="R43" i="1"/>
  <c r="R53" i="1"/>
  <c r="R46" i="1"/>
  <c r="R45" i="1"/>
  <c r="R33" i="1"/>
  <c r="R35" i="1"/>
  <c r="R23" i="1"/>
  <c r="R25" i="1"/>
  <c r="R47" i="1"/>
  <c r="R34" i="1"/>
  <c r="R41" i="1"/>
  <c r="R31" i="1"/>
  <c r="R44" i="1"/>
  <c r="R54" i="1"/>
  <c r="R24" i="1"/>
  <c r="R30" i="1"/>
  <c r="R42" i="1"/>
  <c r="R9" i="1"/>
  <c r="R18" i="1"/>
  <c r="R19" i="1"/>
  <c r="R15" i="1"/>
  <c r="R16" i="1"/>
  <c r="R4" i="1"/>
  <c r="R8" i="1"/>
  <c r="R21" i="1"/>
  <c r="R51" i="1"/>
  <c r="R49" i="1"/>
  <c r="R13" i="1"/>
  <c r="R20" i="1"/>
  <c r="R27" i="1"/>
  <c r="R11" i="1"/>
  <c r="R7" i="1"/>
  <c r="R10" i="1"/>
  <c r="R26" i="1"/>
  <c r="R14" i="1"/>
  <c r="R12" i="1"/>
  <c r="R50" i="1"/>
</calcChain>
</file>

<file path=xl/sharedStrings.xml><?xml version="1.0" encoding="utf-8"?>
<sst xmlns="http://schemas.openxmlformats.org/spreadsheetml/2006/main" count="987" uniqueCount="334">
  <si>
    <t>#</t>
  </si>
  <si>
    <t>Szczyt (PL)</t>
  </si>
  <si>
    <t>Nazwa cz.</t>
  </si>
  <si>
    <t>Wybitność (m)</t>
  </si>
  <si>
    <t>Izolacja (km)</t>
  </si>
  <si>
    <t>Wysokość (m)</t>
  </si>
  <si>
    <t>Pasmo</t>
  </si>
  <si>
    <t>Kraj</t>
  </si>
  <si>
    <t>Wybitność — wykres</t>
  </si>
  <si>
    <t>Śnieżka</t>
  </si>
  <si>
    <t>Sněžka</t>
  </si>
  <si>
    <t>Karkonosze</t>
  </si>
  <si>
    <t>Zachodnie</t>
  </si>
  <si>
    <t>PL/CZ</t>
  </si>
  <si>
    <t>██████████████████</t>
  </si>
  <si>
    <t>Pradziad</t>
  </si>
  <si>
    <t>Praděd</t>
  </si>
  <si>
    <t>Wysoki Jesionik</t>
  </si>
  <si>
    <t>Wschodnie</t>
  </si>
  <si>
    <t>CZ</t>
  </si>
  <si>
    <t>███████████████░░░</t>
  </si>
  <si>
    <t>Śnieżnik</t>
  </si>
  <si>
    <t>Králický Sněžník</t>
  </si>
  <si>
    <t>Masyw Śnieżnika</t>
  </si>
  <si>
    <t>██████████░░░░░░░░</t>
  </si>
  <si>
    <t>Ještěd</t>
  </si>
  <si>
    <t>█████████░░░░░░░░░</t>
  </si>
  <si>
    <t>Wielka Desztna</t>
  </si>
  <si>
    <t>Velká Deštná</t>
  </si>
  <si>
    <t>Góry Orlickie</t>
  </si>
  <si>
    <t>Środkowe</t>
  </si>
  <si>
    <t>████████░░░░░░░░░░</t>
  </si>
  <si>
    <t>Wielka Sowa</t>
  </si>
  <si>
    <t>—</t>
  </si>
  <si>
    <t>Góry Sowie</t>
  </si>
  <si>
    <t>PL</t>
  </si>
  <si>
    <t>███████░░░░░░░░░░░</t>
  </si>
  <si>
    <t>Ślęża</t>
  </si>
  <si>
    <t>Sleza</t>
  </si>
  <si>
    <t>Masyw Ślęży</t>
  </si>
  <si>
    <t>Suchy Szczyt</t>
  </si>
  <si>
    <t>Suchý vrch</t>
  </si>
  <si>
    <t>Studniční vrch</t>
  </si>
  <si>
    <t>██████░░░░░░░░░░░░</t>
  </si>
  <si>
    <t>Keprník</t>
  </si>
  <si>
    <t>Jeřáb</t>
  </si>
  <si>
    <t>Hanušovická vrchovina</t>
  </si>
  <si>
    <t>Luž</t>
  </si>
  <si>
    <t>Góry Łużyckie</t>
  </si>
  <si>
    <t>CZ/DE</t>
  </si>
  <si>
    <t>Waligóra</t>
  </si>
  <si>
    <t>Góry Kamienne</t>
  </si>
  <si>
    <t>█████░░░░░░░░░░░░░</t>
  </si>
  <si>
    <t>Wielki Szyszak</t>
  </si>
  <si>
    <t>Vysoké kolo</t>
  </si>
  <si>
    <t>Žaltman</t>
  </si>
  <si>
    <t>Jawornik Wielki</t>
  </si>
  <si>
    <t>Góry Złote</t>
  </si>
  <si>
    <t>████░░░░░░░░░░░░░░</t>
  </si>
  <si>
    <t>Szeroka Góra</t>
  </si>
  <si>
    <t>Góry Bardzkie</t>
  </si>
  <si>
    <t>Chełmiec</t>
  </si>
  <si>
    <t>Góry Wałbrzyskie</t>
  </si>
  <si>
    <t>Szczeliniec Wielki</t>
  </si>
  <si>
    <t>Velká Hejšovina</t>
  </si>
  <si>
    <t>Góry Stołowe</t>
  </si>
  <si>
    <t>Góra Poprzeczna</t>
  </si>
  <si>
    <t>Příčný vrch</t>
  </si>
  <si>
    <t>Góry Opawskie</t>
  </si>
  <si>
    <t>Okole</t>
  </si>
  <si>
    <t>Góry Kaczawskie</t>
  </si>
  <si>
    <t>Jagodna Północna</t>
  </si>
  <si>
    <t>Góry Bystrzyckie</t>
  </si>
  <si>
    <t>Wysoka Kopa</t>
  </si>
  <si>
    <t>Smrk</t>
  </si>
  <si>
    <t>Góry Izerskie</t>
  </si>
  <si>
    <t>Skalnik</t>
  </si>
  <si>
    <t>Rudawy Janowickie</t>
  </si>
  <si>
    <t>███░░░░░░░░░░░░░░░</t>
  </si>
  <si>
    <t>Biskupia Kopa</t>
  </si>
  <si>
    <t>Biskupská kupa</t>
  </si>
  <si>
    <t>Słoneczna</t>
  </si>
  <si>
    <t>Slunečná</t>
  </si>
  <si>
    <t>Niski Jesionik</t>
  </si>
  <si>
    <t>Hrazený</t>
  </si>
  <si>
    <t>Pogórze Łużyckie</t>
  </si>
  <si>
    <t>██░░░░░░░░░░░░░░░░</t>
  </si>
  <si>
    <t>Wielka Korona Sudetów</t>
  </si>
  <si>
    <t>* wybitność (prominencja / MDW) - wysokość nad przełęczą kluczową oddzielającą od wyższego szczytu, izolalacja - odległość w linii prostej do najbliższego wyższego szczytu</t>
  </si>
  <si>
    <t>Region</t>
  </si>
  <si>
    <t>Kozákov</t>
  </si>
  <si>
    <t>Hochstein</t>
  </si>
  <si>
    <t>Pogórze Zachodniołużyckie</t>
  </si>
  <si>
    <t>DE</t>
  </si>
  <si>
    <t>Valtenberg</t>
  </si>
  <si>
    <t>Czorneboh</t>
  </si>
  <si>
    <t>Kottmar</t>
  </si>
  <si>
    <t>Płaskowyż Budziszyński</t>
  </si>
  <si>
    <t>Landekrone</t>
  </si>
  <si>
    <t>Kotlina Żytawsko-Zgorzelecka</t>
  </si>
  <si>
    <t>Cervena hora</t>
  </si>
  <si>
    <t>Fidluv kopec</t>
  </si>
  <si>
    <t>Oderske vrchy</t>
  </si>
  <si>
    <t>Pogórze Kaczawskie</t>
  </si>
  <si>
    <t>Grodziec</t>
  </si>
  <si>
    <t>Kuelenberg</t>
  </si>
  <si>
    <t>Źródło wyb.</t>
  </si>
  <si>
    <t>Smrek</t>
  </si>
  <si>
    <t>korekta autora</t>
  </si>
  <si>
    <t>Šerák 1352m</t>
  </si>
  <si>
    <t>Borowa</t>
  </si>
  <si>
    <t>szacunek topo.</t>
  </si>
  <si>
    <t>Waligóra 936m</t>
  </si>
  <si>
    <t>Špičák</t>
  </si>
  <si>
    <t>Pogórze Orlickie</t>
  </si>
  <si>
    <t>Włodzicka Góra</t>
  </si>
  <si>
    <t>Obniżenie Nowej Rudy</t>
  </si>
  <si>
    <t>███████████░░░░░░░</t>
  </si>
  <si>
    <t>Zadzierna</t>
  </si>
  <si>
    <t>Kotlina Kamiennogórska</t>
  </si>
  <si>
    <t>█████████████░░░░░</t>
  </si>
  <si>
    <t>Lázek</t>
  </si>
  <si>
    <t>Baba</t>
  </si>
  <si>
    <t>Podgórze Karkonoskie</t>
  </si>
  <si>
    <t>Strażna</t>
  </si>
  <si>
    <t>Pogórze Witkowskie</t>
  </si>
  <si>
    <t>Obniżenie Ścinawki</t>
  </si>
  <si>
    <t>Pasterskie Skały</t>
  </si>
  <si>
    <t>Suchoń</t>
  </si>
  <si>
    <t>Rów Górnej Nysy</t>
  </si>
  <si>
    <t>Kobyla</t>
  </si>
  <si>
    <t>Pogórze Opawskie</t>
  </si>
  <si>
    <t>Andělský vrch</t>
  </si>
  <si>
    <t>Pogórze Izerskie</t>
  </si>
  <si>
    <t>Boží hora</t>
  </si>
  <si>
    <t>Pogórze Żulowskie</t>
  </si>
  <si>
    <t>Sas</t>
  </si>
  <si>
    <t>Pogórze Wałbrzyskie</t>
  </si>
  <si>
    <t>Spitzberg</t>
  </si>
  <si>
    <t>Pogórze Wschodniołużyckie</t>
  </si>
  <si>
    <t>Pogórze Z.</t>
  </si>
  <si>
    <t>Grodna</t>
  </si>
  <si>
    <t>Kotlina Jeleniogórska</t>
  </si>
  <si>
    <t>Ostrzyca</t>
  </si>
  <si>
    <t>Wywołaniec 541m</t>
  </si>
  <si>
    <t>Na Vyhlídce</t>
  </si>
  <si>
    <t>Pogórze Burgrabickie</t>
  </si>
  <si>
    <t>Kozie Chrzepty</t>
  </si>
  <si>
    <t>Wzgórza Niemczańsko-Strzelińskie</t>
  </si>
  <si>
    <t>Przedgórze</t>
  </si>
  <si>
    <t>Rotstein</t>
  </si>
  <si>
    <t>Polana</t>
  </si>
  <si>
    <t>Kotlina Kłodzka</t>
  </si>
  <si>
    <t>Jedlice</t>
  </si>
  <si>
    <t>Wzgórza Strzegomskie</t>
  </si>
  <si>
    <t>Chlum</t>
  </si>
  <si>
    <t>Pogórze Trszickie</t>
  </si>
  <si>
    <t>Jaka korona</t>
  </si>
  <si>
    <t>Korona Sudetów</t>
  </si>
  <si>
    <t>Grupa górska (pochodzenie, rodowód, …)</t>
  </si>
  <si>
    <t>Diamentowa Korona Sudetów</t>
  </si>
  <si>
    <t>Sokoli Grzbiet</t>
  </si>
  <si>
    <t>Sudety Zachodnie</t>
  </si>
  <si>
    <t>Sudety Środkowe</t>
  </si>
  <si>
    <t>Sudety Wchodnie</t>
  </si>
  <si>
    <t>Sudety Orlickie</t>
  </si>
  <si>
    <t>Sudety Łuźyckie</t>
  </si>
  <si>
    <t>Sudety Kulmowe</t>
  </si>
  <si>
    <t>Velky Roudny</t>
  </si>
  <si>
    <t>Góry Złotogórskie</t>
  </si>
  <si>
    <t>Nowa Kopa</t>
  </si>
  <si>
    <t>Sudety Kaczawskie</t>
  </si>
  <si>
    <t>Zabreska vrchovina</t>
  </si>
  <si>
    <t>Královecký Špičák</t>
  </si>
  <si>
    <t>Borówkowa</t>
  </si>
  <si>
    <t>Cap</t>
  </si>
  <si>
    <t>podstawa kwalifikacji</t>
  </si>
  <si>
    <t>najwyższy i najwybitniejszy szczyt grupy</t>
  </si>
  <si>
    <t>wybitność pow. 300 m</t>
  </si>
  <si>
    <t>Kottmar (582)</t>
  </si>
  <si>
    <t>Ruckenberg (479)</t>
  </si>
  <si>
    <t>Twardota (381)</t>
  </si>
  <si>
    <t>najwybitniejszy szczyt pasma</t>
  </si>
  <si>
    <t>najwyższy szczyt pasma</t>
  </si>
  <si>
    <t>izolacja pow. 10 km</t>
  </si>
  <si>
    <t>Szczyt odniesienia</t>
  </si>
  <si>
    <t>Przełęcz kluczowa</t>
  </si>
  <si>
    <t>Bohdasińska</t>
  </si>
  <si>
    <t>wys przełęczy</t>
  </si>
  <si>
    <t>uwagi</t>
  </si>
  <si>
    <t>obniżona w wyniku przekopu kolejowego z 508 do 500</t>
  </si>
  <si>
    <t>Międzyleska</t>
  </si>
  <si>
    <t>Trójmorski Wierch</t>
  </si>
  <si>
    <t>obniżona w wyniku przekopu kolejowego z 533 do 525</t>
  </si>
  <si>
    <t>obliczenie wybitności</t>
  </si>
  <si>
    <t>Kralovecke</t>
  </si>
  <si>
    <t>obniżona w wyniku przekopu kolejowego z 531 do 525</t>
  </si>
  <si>
    <t>Jażwina</t>
  </si>
  <si>
    <t>Zawalidroga (764)</t>
  </si>
  <si>
    <t>Cerna Hora (k. Jesteda, 811)</t>
  </si>
  <si>
    <t xml:space="preserve">Jitravske </t>
  </si>
  <si>
    <t>Trójgarb</t>
  </si>
  <si>
    <t>Płonina (bez nazwy)</t>
  </si>
  <si>
    <t>obniżona w wyniku przekopu kolejowego z 470 do 468</t>
  </si>
  <si>
    <t>Poprzeczna</t>
  </si>
  <si>
    <t>Hermanovicka</t>
  </si>
  <si>
    <t>źródło danych</t>
  </si>
  <si>
    <t>vrcholovka.cz</t>
  </si>
  <si>
    <t>Holoubnik (1071)</t>
  </si>
  <si>
    <t>Jerzmanicka</t>
  </si>
  <si>
    <t>Ramzovske</t>
  </si>
  <si>
    <t>Nad Cerveną Vodą</t>
  </si>
  <si>
    <t>Jerab</t>
  </si>
  <si>
    <t>Lvi Hora</t>
  </si>
  <si>
    <t>Przeł. Pomezi / Lipova</t>
  </si>
  <si>
    <t>jeśliŚnieżnik miały 1423 m, (tak jak mapy.cz) wówczas szczytem odniesienia może być Keprnik</t>
  </si>
  <si>
    <t>Przeł. Czervenohorska</t>
  </si>
  <si>
    <t>Svini hora</t>
  </si>
  <si>
    <t>Cerveny Potok</t>
  </si>
  <si>
    <t>Mała Sowa</t>
  </si>
  <si>
    <t>Wrześnik</t>
  </si>
  <si>
    <t>Lucni hora</t>
  </si>
  <si>
    <t>Przeł. Odrodzenie</t>
  </si>
  <si>
    <t>przeł. Nad Radvanicami</t>
  </si>
  <si>
    <t>nie spełnia kryteriów</t>
  </si>
  <si>
    <t>Przeł Różaniec</t>
  </si>
  <si>
    <t>Czerna Studnice</t>
  </si>
  <si>
    <t>Nova Paka Stikov</t>
  </si>
  <si>
    <t>Jawornik Wlk</t>
  </si>
  <si>
    <t>Przeł. Kłodzka</t>
  </si>
  <si>
    <t>przekop kolejowy obniża dodatkowo o 8m</t>
  </si>
  <si>
    <t>Boguszów Gorce</t>
  </si>
  <si>
    <t>Orlica</t>
  </si>
  <si>
    <t>Polskie Wrota</t>
  </si>
  <si>
    <t>Medvedi</t>
  </si>
  <si>
    <t>Nad Hornim Udolim</t>
  </si>
  <si>
    <t>Przeł. Płoszczyna (Kladske sedlo)</t>
  </si>
  <si>
    <t>Divorsky les (1036)</t>
  </si>
  <si>
    <t>Kralovecke sedlo</t>
  </si>
  <si>
    <t>Mravecny Vrch 840</t>
  </si>
  <si>
    <t>Honske sedlo</t>
  </si>
  <si>
    <t>Plasnice - Uhor</t>
  </si>
  <si>
    <t>Kamenny vrch 1037</t>
  </si>
  <si>
    <t>własne</t>
  </si>
  <si>
    <t>Krajanów</t>
  </si>
  <si>
    <t>Grabina 945</t>
  </si>
  <si>
    <t>Słodna 790 k. Ruprechicky</t>
  </si>
  <si>
    <t>Chełmczyk 765</t>
  </si>
  <si>
    <t>Stara Białka skrzyż</t>
  </si>
  <si>
    <t>Horni Hermanice</t>
  </si>
  <si>
    <t>Špičák 798 m</t>
  </si>
  <si>
    <t>Vrchy 716</t>
  </si>
  <si>
    <t>Babi - Stachelberg</t>
  </si>
  <si>
    <t>Červená hora 749m</t>
  </si>
  <si>
    <t>Nad Hermanky</t>
  </si>
  <si>
    <t>Góra Św. Anny (647)</t>
  </si>
  <si>
    <t>Nad Bozanovem U Kaplicky</t>
  </si>
  <si>
    <t>Kamienna - Idzików</t>
  </si>
  <si>
    <t>Mesicni hora 631</t>
  </si>
  <si>
    <t>Rudikovy</t>
  </si>
  <si>
    <t>Rapicka hora 708</t>
  </si>
  <si>
    <t>Nad Novym Mestem</t>
  </si>
  <si>
    <t>Zulovy vrch 719</t>
  </si>
  <si>
    <t>Starost - Andelske Domky</t>
  </si>
  <si>
    <t>Węgielnik 620</t>
  </si>
  <si>
    <t>Szczawno, ul. Ułanów Nadwiślańskich</t>
  </si>
  <si>
    <t>Rotstein 454</t>
  </si>
  <si>
    <t>Pfaffendorf</t>
  </si>
  <si>
    <t>Spicak 544</t>
  </si>
  <si>
    <t>Spicak jest wyższy</t>
  </si>
  <si>
    <t>Spicak</t>
  </si>
  <si>
    <t>Lisiura 525</t>
  </si>
  <si>
    <t>Sosnówka, Radzicz</t>
  </si>
  <si>
    <t>Neuspitzkunnensdorf</t>
  </si>
  <si>
    <t>Niska hora 551</t>
  </si>
  <si>
    <t>nad Supikovicami</t>
  </si>
  <si>
    <t>Jeleniec 527</t>
  </si>
  <si>
    <t>Budzów skrzyż</t>
  </si>
  <si>
    <t>Rosenbach - Kemnitz</t>
  </si>
  <si>
    <t>Bischofswerda Schmoolner weg</t>
  </si>
  <si>
    <t>Jodłowa Góra 480</t>
  </si>
  <si>
    <t>na zach od Polany</t>
  </si>
  <si>
    <t>Tomkowice</t>
  </si>
  <si>
    <t>Rybniky 371</t>
  </si>
  <si>
    <t>Vacanovice</t>
  </si>
  <si>
    <t>Hrazeny 608</t>
  </si>
  <si>
    <t>kolej Slunkov - Velky Senov</t>
  </si>
  <si>
    <t>Łysiec 963</t>
  </si>
  <si>
    <t>Przeł. Lądecka</t>
  </si>
  <si>
    <t>Halbau</t>
  </si>
  <si>
    <t>nowy</t>
  </si>
  <si>
    <t>Weberberg 711</t>
  </si>
  <si>
    <t>Walddorf</t>
  </si>
  <si>
    <t>Przeł. Szklarska</t>
  </si>
  <si>
    <t>Mumlavsky vrch</t>
  </si>
  <si>
    <t>Detrichovska</t>
  </si>
  <si>
    <t>Mały Stozec 650</t>
  </si>
  <si>
    <t>Krasna Lipa</t>
  </si>
  <si>
    <t>Jaka korona wg nowych pomiarów</t>
  </si>
  <si>
    <t>najwyższy i najwybitniejszy szczyt pasma</t>
  </si>
  <si>
    <t>Kozakov</t>
  </si>
  <si>
    <t>g</t>
  </si>
  <si>
    <t>Gromnik</t>
  </si>
  <si>
    <t>Przedgórze Sudeckie</t>
  </si>
  <si>
    <t>Stolniczka 396</t>
  </si>
  <si>
    <t>Jasienica-Nowina</t>
  </si>
  <si>
    <t>Pogórze Zachodniosudeckie</t>
  </si>
  <si>
    <t>Sędzimirów - Grodziec</t>
  </si>
  <si>
    <t>Mokra Przełęcz</t>
  </si>
  <si>
    <t>Niski Jesenik</t>
  </si>
  <si>
    <t>Chlum 706</t>
  </si>
  <si>
    <t>Velka Strelna</t>
  </si>
  <si>
    <t>Slunecna</t>
  </si>
  <si>
    <t>Moravsky Beroun - Dvorce</t>
  </si>
  <si>
    <t>Czerwona Góra</t>
  </si>
  <si>
    <t>Zvicina</t>
  </si>
  <si>
    <t>Pogórze Karkonoskie</t>
  </si>
  <si>
    <t>Smrcina 687</t>
  </si>
  <si>
    <t>Vidonice - Horni Brusnice</t>
  </si>
  <si>
    <t>Lisia Góra</t>
  </si>
  <si>
    <t>Lisci hora</t>
  </si>
  <si>
    <t>wzniesienie 100 m na pn od Čížkovy kameny</t>
  </si>
  <si>
    <t>przekop kolejowy w Trutnovie dodatkowo o 15 m</t>
  </si>
  <si>
    <t>najwyższy i najwybitniejszy szczyt Sudetów</t>
  </si>
  <si>
    <t>wybitność pow. 500 m</t>
  </si>
  <si>
    <t>izolacja powyżej 25 km</t>
  </si>
  <si>
    <t>Wysoka Dąbrowa</t>
  </si>
  <si>
    <t>Hohe Dubrau</t>
  </si>
  <si>
    <t>Nazwa de</t>
  </si>
  <si>
    <t>Hochstain 396</t>
  </si>
  <si>
    <t>audtostada Hartha - Prachenau</t>
  </si>
  <si>
    <t>izolacja pow. 14 km</t>
  </si>
  <si>
    <t>wybitność pow. 350 m</t>
  </si>
  <si>
    <t>Grzbiet Jesztiedzko-Kozakowski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</si>
</sst>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238"/>
    </font>
    <font>
      <i/>
      <sz val="9"/>
      <color rgb="FF6B7280"/>
      <name val="Arial"/>
      <family val="2"/>
      <charset val="238"/>
    </font>
    <font>
      <b/>
      <sz val="9"/>
      <color rgb="FFFFFFFF"/>
      <name val="Arial"/>
      <family val="2"/>
      <charset val="238"/>
    </font>
    <font>
      <sz val="9"/>
      <name val="Arial"/>
      <family val="2"/>
      <charset val="238"/>
    </font>
    <font>
      <sz val="9"/>
      <color rgb="FF6B7280"/>
      <name val="Arial"/>
      <family val="2"/>
      <charset val="238"/>
    </font>
    <font>
      <b/>
      <sz val="9"/>
      <name val="Arial"/>
      <family val="2"/>
      <charset val="238"/>
    </font>
    <font>
      <sz val="9"/>
      <color rgb="FF374151"/>
      <name val="Arial"/>
      <family val="2"/>
      <charset val="238"/>
    </font>
    <font>
      <b/>
      <sz val="8"/>
      <color rgb="FF1E40AF"/>
      <name val="Arial"/>
      <family val="2"/>
      <charset val="238"/>
    </font>
    <font>
      <b/>
      <sz val="8"/>
      <color rgb="FF0C4A6E"/>
      <name val="Arial"/>
      <family val="2"/>
      <charset val="238"/>
    </font>
    <font>
      <sz val="8"/>
      <color rgb="FF1E40AF"/>
      <name val="Courier New"/>
      <family val="3"/>
      <charset val="238"/>
    </font>
    <font>
      <b/>
      <sz val="8"/>
      <color rgb="FF854D0E"/>
      <name val="Arial"/>
      <family val="2"/>
      <charset val="238"/>
    </font>
    <font>
      <b/>
      <sz val="8"/>
      <color rgb="FF4C1D95"/>
      <name val="Arial"/>
      <family val="2"/>
      <charset val="238"/>
    </font>
    <font>
      <sz val="8"/>
      <color rgb="FF854D0E"/>
      <name val="Courier New"/>
      <family val="3"/>
      <charset val="238"/>
    </font>
    <font>
      <b/>
      <sz val="8"/>
      <color rgb="FF166534"/>
      <name val="Arial"/>
      <family val="2"/>
      <charset val="238"/>
    </font>
    <font>
      <sz val="8"/>
      <color rgb="FF166534"/>
      <name val="Courier New"/>
      <family val="3"/>
      <charset val="238"/>
    </font>
    <font>
      <b/>
      <sz val="8"/>
      <color rgb="FF9D174D"/>
      <name val="Arial"/>
      <family val="2"/>
      <charset val="238"/>
    </font>
    <font>
      <b/>
      <sz val="8"/>
      <color rgb="FF334155"/>
      <name val="Arial"/>
      <family val="2"/>
      <charset val="238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sz val="8"/>
      <color rgb="FF166534"/>
      <name val="Arial"/>
    </font>
    <font>
      <sz val="8"/>
      <color rgb="FF1E6BB0"/>
      <name val="Arial"/>
    </font>
    <font>
      <b/>
      <sz val="8"/>
      <color rgb="FF854D0E"/>
      <name val="Arial"/>
    </font>
    <font>
      <b/>
      <sz val="8"/>
      <color rgb="FF4C1D95"/>
      <name val="Arial"/>
    </font>
    <font>
      <sz val="8"/>
      <color rgb="FF854D0E"/>
      <name val="Courier New"/>
    </font>
    <font>
      <sz val="8"/>
      <color rgb="FF6B7280"/>
      <name val="Arial"/>
    </font>
    <font>
      <b/>
      <sz val="8"/>
      <color rgb="FF166534"/>
      <name val="Arial"/>
    </font>
    <font>
      <b/>
      <sz val="8"/>
      <color rgb="FF9D174D"/>
      <name val="Arial"/>
    </font>
    <font>
      <sz val="8"/>
      <color rgb="FF166534"/>
      <name val="Courier New"/>
    </font>
    <font>
      <b/>
      <sz val="8"/>
      <color rgb="FF1E40AF"/>
      <name val="Arial"/>
    </font>
    <font>
      <sz val="8"/>
      <color rgb="FF1E40AF"/>
      <name val="Courier New"/>
    </font>
    <font>
      <b/>
      <sz val="8"/>
      <color rgb="FF334155"/>
      <name val="Arial"/>
    </font>
    <font>
      <sz val="8"/>
      <color rgb="FF334155"/>
      <name val="Courier New"/>
    </font>
  </fonts>
  <fills count="14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3" fontId="6" fillId="5" borderId="2" xfId="0" applyNumberFormat="1" applyFont="1" applyFill="1" applyBorder="1" applyAlignment="1">
      <alignment horizontal="center" vertical="center"/>
    </xf>
    <xf numFmtId="3" fontId="4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/>
    </xf>
    <xf numFmtId="3" fontId="19" fillId="2" borderId="1" xfId="0" applyNumberFormat="1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vertical="center"/>
    </xf>
    <xf numFmtId="3" fontId="19" fillId="5" borderId="1" xfId="0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left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3" fontId="6" fillId="10" borderId="0" xfId="0" applyNumberFormat="1" applyFont="1" applyFill="1" applyAlignment="1">
      <alignment horizontal="center" vertical="center"/>
    </xf>
    <xf numFmtId="0" fontId="19" fillId="10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164" fontId="20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3" fontId="4" fillId="11" borderId="1" xfId="0" applyNumberFormat="1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3" fontId="4" fillId="11" borderId="1" xfId="0" applyNumberFormat="1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0" fillId="11" borderId="0" xfId="0" applyFill="1"/>
    <xf numFmtId="3" fontId="6" fillId="11" borderId="0" xfId="0" applyNumberFormat="1" applyFont="1" applyFill="1" applyAlignment="1">
      <alignment vertical="center"/>
    </xf>
    <xf numFmtId="3" fontId="6" fillId="5" borderId="0" xfId="0" applyNumberFormat="1" applyFont="1" applyFill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3" fontId="6" fillId="0" borderId="0" xfId="0" applyNumberFormat="1" applyFont="1" applyAlignment="1">
      <alignment vertical="center"/>
    </xf>
    <xf numFmtId="0" fontId="17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/>
    </xf>
    <xf numFmtId="3" fontId="19" fillId="0" borderId="1" xfId="0" applyNumberFormat="1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2" fillId="0" borderId="1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0" fontId="0" fillId="10" borderId="0" xfId="0" applyFill="1"/>
    <xf numFmtId="0" fontId="3" fillId="12" borderId="1" xfId="0" applyFont="1" applyFill="1" applyBorder="1" applyAlignment="1">
      <alignment horizontal="center" vertical="center" wrapText="1"/>
    </xf>
    <xf numFmtId="164" fontId="3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0" fillId="12" borderId="0" xfId="0" applyFill="1"/>
    <xf numFmtId="0" fontId="1" fillId="12" borderId="0" xfId="0" applyFont="1" applyFill="1" applyAlignment="1">
      <alignment horizontal="center" vertical="center"/>
    </xf>
    <xf numFmtId="0" fontId="0" fillId="12" borderId="0" xfId="0" applyFill="1"/>
    <xf numFmtId="0" fontId="0" fillId="12" borderId="0" xfId="0" applyFill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1" xfId="0" applyBorder="1"/>
    <xf numFmtId="0" fontId="19" fillId="0" borderId="0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10" borderId="1" xfId="0" applyFill="1" applyBorder="1"/>
    <xf numFmtId="0" fontId="4" fillId="10" borderId="1" xfId="0" applyFont="1" applyFill="1" applyBorder="1" applyAlignment="1">
      <alignment vertical="center"/>
    </xf>
    <xf numFmtId="164" fontId="20" fillId="0" borderId="0" xfId="0" applyNumberFormat="1" applyFont="1" applyBorder="1" applyAlignment="1">
      <alignment horizontal="center" vertical="center"/>
    </xf>
    <xf numFmtId="3" fontId="6" fillId="0" borderId="0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0" fillId="0" borderId="0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3" fontId="19" fillId="10" borderId="1" xfId="0" applyNumberFormat="1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vertical="center"/>
    </xf>
    <xf numFmtId="0" fontId="0" fillId="0" borderId="1" xfId="0" applyBorder="1" applyAlignment="1">
      <alignment horizontal="left"/>
    </xf>
    <xf numFmtId="3" fontId="4" fillId="0" borderId="0" xfId="0" applyNumberFormat="1" applyFont="1" applyBorder="1" applyAlignment="1">
      <alignment horizontal="left" vertical="center"/>
    </xf>
    <xf numFmtId="0" fontId="24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center" vertical="center"/>
    </xf>
    <xf numFmtId="3" fontId="4" fillId="0" borderId="0" xfId="0" applyNumberFormat="1" applyFont="1" applyBorder="1" applyAlignment="1">
      <alignment vertical="center"/>
    </xf>
    <xf numFmtId="0" fontId="3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164" fontId="6" fillId="10" borderId="1" xfId="0" applyNumberFormat="1" applyFont="1" applyFill="1" applyBorder="1" applyAlignment="1">
      <alignment horizontal="center" vertical="center"/>
    </xf>
    <xf numFmtId="3" fontId="6" fillId="10" borderId="0" xfId="0" applyNumberFormat="1" applyFont="1" applyFill="1" applyAlignment="1">
      <alignment vertical="center"/>
    </xf>
    <xf numFmtId="3" fontId="6" fillId="10" borderId="0" xfId="0" applyNumberFormat="1" applyFont="1" applyFill="1" applyBorder="1" applyAlignment="1">
      <alignment vertical="center"/>
    </xf>
    <xf numFmtId="3" fontId="6" fillId="10" borderId="1" xfId="0" applyNumberFormat="1" applyFont="1" applyFill="1" applyBorder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4" fillId="13" borderId="1" xfId="0" applyFont="1" applyFill="1" applyBorder="1" applyAlignment="1">
      <alignment vertical="center"/>
    </xf>
    <xf numFmtId="0" fontId="19" fillId="13" borderId="1" xfId="0" applyFont="1" applyFill="1" applyBorder="1" applyAlignment="1">
      <alignment vertical="center"/>
    </xf>
    <xf numFmtId="3" fontId="19" fillId="13" borderId="1" xfId="0" applyNumberFormat="1" applyFont="1" applyFill="1" applyBorder="1" applyAlignment="1">
      <alignment horizontal="center" vertical="center"/>
    </xf>
    <xf numFmtId="3" fontId="6" fillId="13" borderId="0" xfId="0" applyNumberFormat="1" applyFont="1" applyFill="1" applyBorder="1" applyAlignment="1">
      <alignment horizontal="left" vertical="center"/>
    </xf>
    <xf numFmtId="0" fontId="0" fillId="13" borderId="1" xfId="0" applyFill="1" applyBorder="1" applyAlignment="1">
      <alignment vertical="center"/>
    </xf>
    <xf numFmtId="0" fontId="32" fillId="13" borderId="1" xfId="0" applyFont="1" applyFill="1" applyBorder="1" applyAlignment="1">
      <alignment horizontal="center" vertical="center"/>
    </xf>
    <xf numFmtId="0" fontId="0" fillId="13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4"/>
  <sheetViews>
    <sheetView tabSelected="1" zoomScale="78" zoomScaleNormal="80" workbookViewId="0">
      <pane ySplit="3" topLeftCell="A4" activePane="bottomLeft" state="frozen"/>
      <selection pane="bottomLeft" activeCell="A16" sqref="A16:XFD16"/>
    </sheetView>
  </sheetViews>
  <sheetFormatPr defaultRowHeight="14.5" x14ac:dyDescent="0.35"/>
  <cols>
    <col min="1" max="1" width="4" customWidth="1"/>
    <col min="2" max="2" width="22" customWidth="1"/>
    <col min="3" max="5" width="7.08984375" customWidth="1"/>
    <col min="6" max="9" width="20" customWidth="1"/>
    <col min="10" max="11" width="14" customWidth="1"/>
    <col min="12" max="12" width="23.453125" customWidth="1"/>
    <col min="13" max="13" width="14" customWidth="1"/>
    <col min="14" max="14" width="9.6328125" customWidth="1"/>
    <col min="15" max="15" width="12" customWidth="1"/>
    <col min="16" max="17" width="8" style="36" customWidth="1"/>
    <col min="18" max="20" width="8" customWidth="1"/>
  </cols>
  <sheetData>
    <row r="1" spans="1:23" ht="28" customHeight="1" x14ac:dyDescent="0.35">
      <c r="A1" s="109" t="s">
        <v>87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1"/>
    </row>
    <row r="2" spans="1:23" ht="16" customHeight="1" x14ac:dyDescent="0.35">
      <c r="A2" s="112" t="s">
        <v>88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4"/>
    </row>
    <row r="3" spans="1:23" s="108" customFormat="1" ht="30" customHeight="1" x14ac:dyDescent="0.35">
      <c r="A3" s="104" t="s">
        <v>0</v>
      </c>
      <c r="B3" s="104" t="s">
        <v>1</v>
      </c>
      <c r="C3" s="104" t="s">
        <v>2</v>
      </c>
      <c r="D3" s="104" t="s">
        <v>328</v>
      </c>
      <c r="E3" s="104" t="s">
        <v>157</v>
      </c>
      <c r="F3" s="104" t="s">
        <v>298</v>
      </c>
      <c r="G3" s="104" t="s">
        <v>298</v>
      </c>
      <c r="H3" s="104" t="s">
        <v>159</v>
      </c>
      <c r="I3" s="104" t="s">
        <v>6</v>
      </c>
      <c r="J3" s="104" t="s">
        <v>5</v>
      </c>
      <c r="K3" s="105" t="s">
        <v>3</v>
      </c>
      <c r="L3" s="106" t="s">
        <v>176</v>
      </c>
      <c r="M3" s="107" t="s">
        <v>106</v>
      </c>
      <c r="N3" s="104" t="s">
        <v>4</v>
      </c>
      <c r="O3" s="104" t="s">
        <v>206</v>
      </c>
      <c r="P3" s="106" t="s">
        <v>185</v>
      </c>
      <c r="Q3" s="106" t="s">
        <v>186</v>
      </c>
      <c r="R3" s="104" t="s">
        <v>194</v>
      </c>
      <c r="S3" s="104" t="s">
        <v>188</v>
      </c>
      <c r="T3" s="104" t="s">
        <v>189</v>
      </c>
      <c r="U3" s="104" t="s">
        <v>89</v>
      </c>
      <c r="V3" s="104" t="s">
        <v>7</v>
      </c>
      <c r="W3" s="104" t="s">
        <v>8</v>
      </c>
    </row>
    <row r="4" spans="1:23" ht="15" customHeight="1" x14ac:dyDescent="0.35">
      <c r="A4" s="57">
        <v>16</v>
      </c>
      <c r="B4" s="58" t="s">
        <v>59</v>
      </c>
      <c r="C4" s="58" t="s">
        <v>33</v>
      </c>
      <c r="D4" s="58"/>
      <c r="E4" s="58" t="s">
        <v>87</v>
      </c>
      <c r="F4" s="58" t="s">
        <v>160</v>
      </c>
      <c r="G4" s="58" t="s">
        <v>160</v>
      </c>
      <c r="H4" s="58" t="s">
        <v>163</v>
      </c>
      <c r="I4" s="59" t="s">
        <v>60</v>
      </c>
      <c r="J4" s="60">
        <v>766</v>
      </c>
      <c r="K4" s="61">
        <v>283</v>
      </c>
      <c r="L4" s="78" t="s">
        <v>299</v>
      </c>
      <c r="M4" s="126" t="s">
        <v>243</v>
      </c>
      <c r="N4" s="63">
        <v>8.4</v>
      </c>
      <c r="O4" s="60"/>
      <c r="P4" s="73" t="s">
        <v>228</v>
      </c>
      <c r="Q4" s="73" t="s">
        <v>229</v>
      </c>
      <c r="R4" s="60">
        <f>J4-S4</f>
        <v>283</v>
      </c>
      <c r="S4" s="60">
        <v>483</v>
      </c>
      <c r="T4" s="60"/>
      <c r="U4" s="74" t="s">
        <v>30</v>
      </c>
      <c r="V4" s="76" t="s">
        <v>35</v>
      </c>
      <c r="W4" s="75" t="s">
        <v>58</v>
      </c>
    </row>
    <row r="5" spans="1:23" ht="15" customHeight="1" x14ac:dyDescent="0.35">
      <c r="A5" s="57">
        <v>21</v>
      </c>
      <c r="B5" s="58" t="s">
        <v>71</v>
      </c>
      <c r="C5" s="58" t="s">
        <v>33</v>
      </c>
      <c r="D5" s="58"/>
      <c r="E5" s="58" t="s">
        <v>87</v>
      </c>
      <c r="F5" s="58" t="s">
        <v>160</v>
      </c>
      <c r="G5" s="58" t="s">
        <v>160</v>
      </c>
      <c r="H5" s="58" t="s">
        <v>165</v>
      </c>
      <c r="I5" s="59" t="s">
        <v>72</v>
      </c>
      <c r="J5" s="60">
        <v>985</v>
      </c>
      <c r="K5" s="61">
        <v>247</v>
      </c>
      <c r="L5" s="78" t="s">
        <v>299</v>
      </c>
      <c r="M5" s="69" t="s">
        <v>243</v>
      </c>
      <c r="N5" s="60">
        <v>6</v>
      </c>
      <c r="O5" s="60"/>
      <c r="P5" s="60"/>
      <c r="Q5" s="60"/>
      <c r="R5" s="60"/>
      <c r="S5" s="60"/>
      <c r="T5" s="60"/>
      <c r="U5" s="74" t="s">
        <v>30</v>
      </c>
      <c r="V5" s="76" t="s">
        <v>35</v>
      </c>
      <c r="W5" s="75" t="s">
        <v>58</v>
      </c>
    </row>
    <row r="6" spans="1:23" ht="15" customHeight="1" x14ac:dyDescent="0.35">
      <c r="A6" s="57">
        <v>22</v>
      </c>
      <c r="B6" s="58" t="s">
        <v>73</v>
      </c>
      <c r="C6" s="58"/>
      <c r="D6" s="58"/>
      <c r="E6" s="58" t="s">
        <v>87</v>
      </c>
      <c r="F6" s="58" t="s">
        <v>160</v>
      </c>
      <c r="G6" s="58" t="s">
        <v>160</v>
      </c>
      <c r="H6" s="58" t="s">
        <v>162</v>
      </c>
      <c r="I6" s="59" t="s">
        <v>75</v>
      </c>
      <c r="J6" s="60">
        <v>1126</v>
      </c>
      <c r="K6" s="61">
        <v>240</v>
      </c>
      <c r="L6" s="137" t="s">
        <v>299</v>
      </c>
      <c r="M6" s="69" t="s">
        <v>243</v>
      </c>
      <c r="N6" s="63">
        <v>6.7</v>
      </c>
      <c r="O6" s="69" t="s">
        <v>243</v>
      </c>
      <c r="P6" s="64" t="s">
        <v>294</v>
      </c>
      <c r="Q6" s="64" t="s">
        <v>293</v>
      </c>
      <c r="R6" s="60">
        <f>J6-S6</f>
        <v>240</v>
      </c>
      <c r="S6" s="60">
        <v>886</v>
      </c>
      <c r="T6" s="60"/>
      <c r="U6" s="65" t="s">
        <v>12</v>
      </c>
      <c r="V6" s="66" t="s">
        <v>13</v>
      </c>
      <c r="W6" s="67" t="s">
        <v>58</v>
      </c>
    </row>
    <row r="7" spans="1:23" ht="15" customHeight="1" x14ac:dyDescent="0.35">
      <c r="A7" s="57">
        <v>20</v>
      </c>
      <c r="B7" s="58" t="s">
        <v>69</v>
      </c>
      <c r="C7" s="58" t="s">
        <v>33</v>
      </c>
      <c r="D7" s="58"/>
      <c r="E7" s="58" t="s">
        <v>158</v>
      </c>
      <c r="F7" s="58" t="s">
        <v>87</v>
      </c>
      <c r="G7" s="58" t="s">
        <v>87</v>
      </c>
      <c r="H7" s="58" t="s">
        <v>162</v>
      </c>
      <c r="I7" s="59" t="s">
        <v>70</v>
      </c>
      <c r="J7" s="60">
        <v>725</v>
      </c>
      <c r="K7" s="61">
        <v>255</v>
      </c>
      <c r="L7" s="62" t="s">
        <v>331</v>
      </c>
      <c r="M7" s="69" t="s">
        <v>243</v>
      </c>
      <c r="N7" s="60">
        <v>16</v>
      </c>
      <c r="O7" s="60" t="s">
        <v>108</v>
      </c>
      <c r="P7" s="64" t="s">
        <v>201</v>
      </c>
      <c r="Q7" s="64" t="s">
        <v>202</v>
      </c>
      <c r="R7" s="60">
        <f>J7-S7</f>
        <v>255</v>
      </c>
      <c r="S7" s="60">
        <v>470</v>
      </c>
      <c r="T7" s="60" t="s">
        <v>203</v>
      </c>
      <c r="U7" s="65" t="s">
        <v>12</v>
      </c>
      <c r="V7" s="76" t="s">
        <v>35</v>
      </c>
      <c r="W7" s="67" t="s">
        <v>58</v>
      </c>
    </row>
    <row r="8" spans="1:23" ht="15" customHeight="1" x14ac:dyDescent="0.35">
      <c r="A8" s="57">
        <v>13</v>
      </c>
      <c r="B8" s="58" t="s">
        <v>50</v>
      </c>
      <c r="C8" s="58" t="s">
        <v>33</v>
      </c>
      <c r="D8" s="58"/>
      <c r="E8" s="58" t="s">
        <v>87</v>
      </c>
      <c r="F8" s="58" t="s">
        <v>87</v>
      </c>
      <c r="G8" s="58" t="s">
        <v>87</v>
      </c>
      <c r="H8" s="58" t="s">
        <v>163</v>
      </c>
      <c r="I8" s="59" t="s">
        <v>51</v>
      </c>
      <c r="J8" s="60">
        <v>936</v>
      </c>
      <c r="K8" s="61">
        <v>351</v>
      </c>
      <c r="L8" s="78" t="s">
        <v>332</v>
      </c>
      <c r="M8" s="69" t="s">
        <v>243</v>
      </c>
      <c r="N8" s="63">
        <v>13.1</v>
      </c>
      <c r="O8" s="60"/>
      <c r="P8" s="73" t="s">
        <v>219</v>
      </c>
      <c r="Q8" s="73" t="s">
        <v>220</v>
      </c>
      <c r="R8" s="60">
        <f>J8-S8</f>
        <v>351</v>
      </c>
      <c r="S8" s="60">
        <v>585</v>
      </c>
      <c r="T8" s="60"/>
      <c r="U8" s="74" t="s">
        <v>30</v>
      </c>
      <c r="V8" s="76" t="s">
        <v>35</v>
      </c>
      <c r="W8" s="75" t="s">
        <v>52</v>
      </c>
    </row>
    <row r="9" spans="1:23" ht="15" customHeight="1" x14ac:dyDescent="0.35">
      <c r="A9" s="57">
        <v>51</v>
      </c>
      <c r="B9" s="116" t="s">
        <v>173</v>
      </c>
      <c r="C9" s="116" t="s">
        <v>173</v>
      </c>
      <c r="D9" s="116"/>
      <c r="E9" s="58" t="s">
        <v>87</v>
      </c>
      <c r="F9" s="58" t="s">
        <v>87</v>
      </c>
      <c r="G9" s="58" t="s">
        <v>87</v>
      </c>
      <c r="H9" s="58" t="s">
        <v>163</v>
      </c>
      <c r="I9" s="116" t="s">
        <v>51</v>
      </c>
      <c r="J9" s="60">
        <v>881</v>
      </c>
      <c r="K9" s="61">
        <v>350</v>
      </c>
      <c r="L9" s="78" t="s">
        <v>332</v>
      </c>
      <c r="M9" s="69" t="s">
        <v>243</v>
      </c>
      <c r="N9" s="63">
        <v>8.8000000000000007</v>
      </c>
      <c r="O9" s="116"/>
      <c r="P9" s="129" t="s">
        <v>237</v>
      </c>
      <c r="Q9" s="129" t="s">
        <v>238</v>
      </c>
      <c r="R9" s="60">
        <f>J9-S9</f>
        <v>350</v>
      </c>
      <c r="S9" s="116">
        <v>531</v>
      </c>
      <c r="T9" s="116"/>
      <c r="U9" s="87" t="s">
        <v>30</v>
      </c>
      <c r="V9" s="86" t="s">
        <v>19</v>
      </c>
      <c r="W9" s="67" t="s">
        <v>52</v>
      </c>
    </row>
    <row r="10" spans="1:23" ht="15" customHeight="1" x14ac:dyDescent="0.35">
      <c r="A10" s="57">
        <v>12</v>
      </c>
      <c r="B10" s="58" t="s">
        <v>47</v>
      </c>
      <c r="C10" s="58" t="s">
        <v>47</v>
      </c>
      <c r="D10" s="58"/>
      <c r="E10" s="58" t="s">
        <v>158</v>
      </c>
      <c r="F10" s="58" t="s">
        <v>158</v>
      </c>
      <c r="G10" s="58" t="s">
        <v>158</v>
      </c>
      <c r="H10" s="58" t="s">
        <v>166</v>
      </c>
      <c r="I10" s="59" t="s">
        <v>48</v>
      </c>
      <c r="J10" s="60">
        <v>793</v>
      </c>
      <c r="K10" s="61">
        <v>369</v>
      </c>
      <c r="L10" s="68" t="s">
        <v>325</v>
      </c>
      <c r="M10" s="69" t="s">
        <v>243</v>
      </c>
      <c r="N10" s="60">
        <v>26</v>
      </c>
      <c r="O10" s="60" t="s">
        <v>108</v>
      </c>
      <c r="P10" s="139" t="s">
        <v>199</v>
      </c>
      <c r="Q10" s="64" t="s">
        <v>200</v>
      </c>
      <c r="R10" s="60">
        <f>J10-S10</f>
        <v>369</v>
      </c>
      <c r="S10" s="60">
        <v>424</v>
      </c>
      <c r="T10" s="60"/>
      <c r="U10" s="65" t="s">
        <v>12</v>
      </c>
      <c r="V10" s="79" t="s">
        <v>49</v>
      </c>
      <c r="W10" s="67" t="s">
        <v>43</v>
      </c>
    </row>
    <row r="11" spans="1:23" ht="15" customHeight="1" x14ac:dyDescent="0.35">
      <c r="A11" s="57">
        <v>24</v>
      </c>
      <c r="B11" s="58" t="s">
        <v>79</v>
      </c>
      <c r="C11" s="58" t="s">
        <v>80</v>
      </c>
      <c r="D11" s="58"/>
      <c r="E11" s="58" t="s">
        <v>158</v>
      </c>
      <c r="F11" s="58" t="s">
        <v>160</v>
      </c>
      <c r="G11" s="58" t="s">
        <v>160</v>
      </c>
      <c r="H11" s="58" t="s">
        <v>167</v>
      </c>
      <c r="I11" s="59" t="s">
        <v>68</v>
      </c>
      <c r="J11" s="60">
        <v>890</v>
      </c>
      <c r="K11" s="61">
        <v>176</v>
      </c>
      <c r="L11" s="78" t="s">
        <v>177</v>
      </c>
      <c r="M11" s="69" t="s">
        <v>243</v>
      </c>
      <c r="N11" s="60">
        <v>8</v>
      </c>
      <c r="O11" s="60" t="s">
        <v>108</v>
      </c>
      <c r="P11" s="64" t="s">
        <v>204</v>
      </c>
      <c r="Q11" s="64" t="s">
        <v>205</v>
      </c>
      <c r="R11" s="60">
        <f>J11-S11</f>
        <v>176</v>
      </c>
      <c r="S11" s="60">
        <v>714</v>
      </c>
      <c r="T11" s="60"/>
      <c r="U11" s="70" t="s">
        <v>18</v>
      </c>
      <c r="V11" s="66" t="s">
        <v>13</v>
      </c>
      <c r="W11" s="72" t="s">
        <v>78</v>
      </c>
    </row>
    <row r="12" spans="1:23" ht="15" customHeight="1" x14ac:dyDescent="0.35">
      <c r="A12" s="57">
        <v>5</v>
      </c>
      <c r="B12" s="58" t="s">
        <v>27</v>
      </c>
      <c r="C12" s="58" t="s">
        <v>28</v>
      </c>
      <c r="D12" s="58"/>
      <c r="E12" s="58" t="s">
        <v>158</v>
      </c>
      <c r="F12" s="58" t="s">
        <v>158</v>
      </c>
      <c r="G12" s="58" t="s">
        <v>158</v>
      </c>
      <c r="H12" s="58" t="s">
        <v>165</v>
      </c>
      <c r="I12" s="59" t="s">
        <v>29</v>
      </c>
      <c r="J12" s="60">
        <v>1115</v>
      </c>
      <c r="K12" s="61">
        <v>582</v>
      </c>
      <c r="L12" s="68" t="s">
        <v>324</v>
      </c>
      <c r="M12" s="69" t="s">
        <v>243</v>
      </c>
      <c r="N12" s="60">
        <v>38</v>
      </c>
      <c r="O12" s="60" t="s">
        <v>108</v>
      </c>
      <c r="P12" s="64" t="s">
        <v>192</v>
      </c>
      <c r="Q12" s="64" t="s">
        <v>191</v>
      </c>
      <c r="R12" s="60">
        <f>J12-S12</f>
        <v>582</v>
      </c>
      <c r="S12" s="60">
        <v>533</v>
      </c>
      <c r="T12" s="60" t="s">
        <v>193</v>
      </c>
      <c r="U12" s="74" t="s">
        <v>30</v>
      </c>
      <c r="V12" s="71" t="s">
        <v>19</v>
      </c>
      <c r="W12" s="75" t="s">
        <v>31</v>
      </c>
    </row>
    <row r="13" spans="1:23" ht="15" customHeight="1" x14ac:dyDescent="0.35">
      <c r="A13" s="57">
        <v>8</v>
      </c>
      <c r="B13" s="58" t="s">
        <v>40</v>
      </c>
      <c r="C13" s="58" t="s">
        <v>41</v>
      </c>
      <c r="D13" s="58"/>
      <c r="E13" s="58" t="s">
        <v>87</v>
      </c>
      <c r="F13" s="58" t="s">
        <v>87</v>
      </c>
      <c r="G13" s="58" t="s">
        <v>87</v>
      </c>
      <c r="H13" s="58" t="s">
        <v>165</v>
      </c>
      <c r="I13" s="59" t="s">
        <v>29</v>
      </c>
      <c r="J13" s="60">
        <v>995</v>
      </c>
      <c r="K13" s="61">
        <v>435</v>
      </c>
      <c r="L13" s="78" t="s">
        <v>332</v>
      </c>
      <c r="M13" s="69" t="s">
        <v>243</v>
      </c>
      <c r="N13" s="63">
        <v>8.5</v>
      </c>
      <c r="O13" s="60"/>
      <c r="P13" s="73" t="s">
        <v>212</v>
      </c>
      <c r="Q13" s="73" t="s">
        <v>211</v>
      </c>
      <c r="R13" s="60">
        <f>J13-S13</f>
        <v>435</v>
      </c>
      <c r="S13" s="60">
        <v>560</v>
      </c>
      <c r="T13" s="60"/>
      <c r="U13" s="74" t="s">
        <v>30</v>
      </c>
      <c r="V13" s="71" t="s">
        <v>19</v>
      </c>
      <c r="W13" s="75" t="s">
        <v>36</v>
      </c>
    </row>
    <row r="14" spans="1:23" ht="15" customHeight="1" x14ac:dyDescent="0.35">
      <c r="A14" s="57">
        <v>6</v>
      </c>
      <c r="B14" s="58" t="s">
        <v>32</v>
      </c>
      <c r="C14" s="58" t="s">
        <v>33</v>
      </c>
      <c r="D14" s="58"/>
      <c r="E14" s="58" t="s">
        <v>158</v>
      </c>
      <c r="F14" s="58" t="s">
        <v>158</v>
      </c>
      <c r="G14" s="58" t="s">
        <v>158</v>
      </c>
      <c r="H14" s="58" t="s">
        <v>163</v>
      </c>
      <c r="I14" s="59" t="s">
        <v>34</v>
      </c>
      <c r="J14" s="60">
        <v>1015</v>
      </c>
      <c r="K14" s="61">
        <v>484</v>
      </c>
      <c r="L14" s="68" t="s">
        <v>325</v>
      </c>
      <c r="M14" s="69" t="s">
        <v>243</v>
      </c>
      <c r="N14" s="63">
        <v>37.4</v>
      </c>
      <c r="O14" s="60" t="s">
        <v>108</v>
      </c>
      <c r="P14" s="64" t="s">
        <v>232</v>
      </c>
      <c r="Q14" s="64" t="s">
        <v>195</v>
      </c>
      <c r="R14" s="60">
        <f>J14-S14</f>
        <v>484</v>
      </c>
      <c r="S14" s="60">
        <v>531</v>
      </c>
      <c r="T14" s="60" t="s">
        <v>196</v>
      </c>
      <c r="U14" s="74" t="s">
        <v>30</v>
      </c>
      <c r="V14" s="76" t="s">
        <v>35</v>
      </c>
      <c r="W14" s="75" t="s">
        <v>36</v>
      </c>
    </row>
    <row r="15" spans="1:23" ht="15" customHeight="1" x14ac:dyDescent="0.35">
      <c r="A15" s="57">
        <v>18</v>
      </c>
      <c r="B15" s="58" t="s">
        <v>63</v>
      </c>
      <c r="C15" s="58" t="s">
        <v>64</v>
      </c>
      <c r="D15" s="58"/>
      <c r="E15" s="58" t="s">
        <v>87</v>
      </c>
      <c r="F15" s="58" t="s">
        <v>87</v>
      </c>
      <c r="G15" s="58" t="s">
        <v>87</v>
      </c>
      <c r="H15" s="58" t="s">
        <v>163</v>
      </c>
      <c r="I15" s="59" t="s">
        <v>65</v>
      </c>
      <c r="J15" s="60">
        <v>922</v>
      </c>
      <c r="K15" s="61">
        <v>272</v>
      </c>
      <c r="L15" s="62" t="s">
        <v>331</v>
      </c>
      <c r="M15" s="69" t="s">
        <v>243</v>
      </c>
      <c r="N15" s="63">
        <v>14.7</v>
      </c>
      <c r="O15" s="60"/>
      <c r="P15" s="73" t="s">
        <v>232</v>
      </c>
      <c r="Q15" s="73" t="s">
        <v>233</v>
      </c>
      <c r="R15" s="60">
        <f>J15-S15</f>
        <v>272</v>
      </c>
      <c r="S15" s="60">
        <v>650</v>
      </c>
      <c r="T15" s="60"/>
      <c r="U15" s="74" t="s">
        <v>30</v>
      </c>
      <c r="V15" s="76" t="s">
        <v>35</v>
      </c>
      <c r="W15" s="75" t="s">
        <v>58</v>
      </c>
    </row>
    <row r="16" spans="1:23" ht="15" customHeight="1" x14ac:dyDescent="0.35">
      <c r="A16" s="57">
        <v>17</v>
      </c>
      <c r="B16" s="58" t="s">
        <v>61</v>
      </c>
      <c r="C16" s="58" t="s">
        <v>33</v>
      </c>
      <c r="D16" s="58"/>
      <c r="E16" s="58" t="s">
        <v>160</v>
      </c>
      <c r="F16" s="58" t="s">
        <v>87</v>
      </c>
      <c r="G16" s="58" t="s">
        <v>160</v>
      </c>
      <c r="H16" s="58" t="s">
        <v>163</v>
      </c>
      <c r="I16" s="59" t="s">
        <v>62</v>
      </c>
      <c r="J16" s="60">
        <v>851</v>
      </c>
      <c r="K16" s="151">
        <v>301</v>
      </c>
      <c r="L16" s="152" t="s">
        <v>182</v>
      </c>
      <c r="M16" s="69" t="s">
        <v>243</v>
      </c>
      <c r="N16" s="63">
        <v>9.1</v>
      </c>
      <c r="O16" s="60"/>
      <c r="P16" s="73" t="s">
        <v>110</v>
      </c>
      <c r="Q16" s="73" t="s">
        <v>231</v>
      </c>
      <c r="R16" s="60">
        <f>J16-S16</f>
        <v>301</v>
      </c>
      <c r="S16" s="60">
        <v>550</v>
      </c>
      <c r="T16" s="60" t="s">
        <v>230</v>
      </c>
      <c r="U16" s="74" t="s">
        <v>30</v>
      </c>
      <c r="V16" s="76" t="s">
        <v>35</v>
      </c>
      <c r="W16" s="75" t="s">
        <v>58</v>
      </c>
    </row>
    <row r="17" spans="1:23" ht="15" customHeight="1" x14ac:dyDescent="0.35">
      <c r="A17" s="57">
        <v>28</v>
      </c>
      <c r="B17" s="77" t="s">
        <v>110</v>
      </c>
      <c r="C17" s="77"/>
      <c r="D17" s="77"/>
      <c r="E17" s="58" t="s">
        <v>87</v>
      </c>
      <c r="F17" s="58" t="s">
        <v>160</v>
      </c>
      <c r="G17" s="58" t="s">
        <v>160</v>
      </c>
      <c r="H17" s="58" t="s">
        <v>163</v>
      </c>
      <c r="I17" s="77" t="s">
        <v>62</v>
      </c>
      <c r="J17" s="136">
        <v>853</v>
      </c>
      <c r="K17" s="82">
        <v>222</v>
      </c>
      <c r="L17" s="153" t="s">
        <v>183</v>
      </c>
      <c r="M17" s="69" t="s">
        <v>243</v>
      </c>
      <c r="N17" s="81">
        <v>5</v>
      </c>
      <c r="O17" s="69" t="s">
        <v>111</v>
      </c>
      <c r="P17" s="77" t="s">
        <v>112</v>
      </c>
      <c r="Q17" s="77"/>
      <c r="R17" s="77"/>
      <c r="S17" s="77"/>
      <c r="T17" s="77"/>
      <c r="U17" s="87" t="s">
        <v>30</v>
      </c>
      <c r="V17" s="88" t="s">
        <v>35</v>
      </c>
      <c r="W17" s="67" t="s">
        <v>78</v>
      </c>
    </row>
    <row r="18" spans="1:23" ht="15" customHeight="1" x14ac:dyDescent="0.35">
      <c r="A18" s="57">
        <v>27</v>
      </c>
      <c r="B18" s="77" t="s">
        <v>107</v>
      </c>
      <c r="C18" s="116" t="s">
        <v>74</v>
      </c>
      <c r="D18" s="116"/>
      <c r="E18" s="58" t="s">
        <v>87</v>
      </c>
      <c r="F18" s="58" t="s">
        <v>87</v>
      </c>
      <c r="G18" s="121" t="s">
        <v>160</v>
      </c>
      <c r="H18" s="58" t="s">
        <v>164</v>
      </c>
      <c r="I18" s="77" t="s">
        <v>57</v>
      </c>
      <c r="J18" s="81">
        <v>1125</v>
      </c>
      <c r="K18" s="82">
        <v>310</v>
      </c>
      <c r="L18" s="78" t="s">
        <v>177</v>
      </c>
      <c r="M18" s="69" t="s">
        <v>243</v>
      </c>
      <c r="N18" s="83">
        <v>7</v>
      </c>
      <c r="O18" s="84" t="s">
        <v>108</v>
      </c>
      <c r="P18" s="77" t="s">
        <v>109</v>
      </c>
      <c r="Q18" s="77" t="s">
        <v>236</v>
      </c>
      <c r="R18" s="60">
        <f>J18-S18</f>
        <v>310</v>
      </c>
      <c r="S18" s="77">
        <v>815</v>
      </c>
      <c r="T18" s="77"/>
      <c r="U18" s="85" t="s">
        <v>18</v>
      </c>
      <c r="V18" s="86" t="s">
        <v>19</v>
      </c>
      <c r="W18" s="72" t="s">
        <v>78</v>
      </c>
    </row>
    <row r="19" spans="1:23" ht="15" customHeight="1" x14ac:dyDescent="0.35">
      <c r="A19" s="57">
        <v>19</v>
      </c>
      <c r="B19" s="58" t="s">
        <v>66</v>
      </c>
      <c r="C19" s="58" t="s">
        <v>67</v>
      </c>
      <c r="D19" s="58"/>
      <c r="E19" s="58" t="s">
        <v>87</v>
      </c>
      <c r="F19" s="58" t="s">
        <v>160</v>
      </c>
      <c r="G19" s="58" t="s">
        <v>160</v>
      </c>
      <c r="H19" s="58" t="s">
        <v>164</v>
      </c>
      <c r="I19" s="59" t="s">
        <v>169</v>
      </c>
      <c r="J19" s="60">
        <v>975</v>
      </c>
      <c r="K19" s="61">
        <v>258</v>
      </c>
      <c r="L19" s="78" t="s">
        <v>299</v>
      </c>
      <c r="M19" s="69" t="s">
        <v>243</v>
      </c>
      <c r="N19" s="63">
        <v>8.1999999999999993</v>
      </c>
      <c r="O19" s="60"/>
      <c r="P19" s="73" t="s">
        <v>234</v>
      </c>
      <c r="Q19" s="73" t="s">
        <v>235</v>
      </c>
      <c r="R19" s="60">
        <f>J19-S19</f>
        <v>258</v>
      </c>
      <c r="S19" s="60">
        <v>717</v>
      </c>
      <c r="T19" s="60"/>
      <c r="U19" s="70" t="s">
        <v>18</v>
      </c>
      <c r="V19" s="71" t="s">
        <v>19</v>
      </c>
      <c r="W19" s="72" t="s">
        <v>58</v>
      </c>
    </row>
    <row r="20" spans="1:23" ht="15" customHeight="1" x14ac:dyDescent="0.35">
      <c r="A20" s="57">
        <v>4</v>
      </c>
      <c r="B20" s="58" t="s">
        <v>25</v>
      </c>
      <c r="C20" s="58" t="s">
        <v>25</v>
      </c>
      <c r="D20" s="58"/>
      <c r="E20" s="58" t="s">
        <v>87</v>
      </c>
      <c r="F20" s="58" t="s">
        <v>158</v>
      </c>
      <c r="G20" s="58" t="s">
        <v>158</v>
      </c>
      <c r="H20" s="58" t="s">
        <v>162</v>
      </c>
      <c r="I20" s="59" t="s">
        <v>333</v>
      </c>
      <c r="J20" s="60">
        <v>1012</v>
      </c>
      <c r="K20" s="61">
        <v>512</v>
      </c>
      <c r="L20" s="68" t="s">
        <v>324</v>
      </c>
      <c r="M20" s="69" t="s">
        <v>243</v>
      </c>
      <c r="N20" s="63">
        <v>18.100000000000001</v>
      </c>
      <c r="O20" s="60"/>
      <c r="P20" s="73" t="s">
        <v>208</v>
      </c>
      <c r="Q20" s="73" t="s">
        <v>209</v>
      </c>
      <c r="R20" s="60">
        <f>J20-S20</f>
        <v>512</v>
      </c>
      <c r="S20" s="60">
        <v>500</v>
      </c>
      <c r="T20" s="60"/>
      <c r="U20" s="65" t="s">
        <v>12</v>
      </c>
      <c r="V20" s="71" t="s">
        <v>19</v>
      </c>
      <c r="W20" s="67" t="s">
        <v>26</v>
      </c>
    </row>
    <row r="21" spans="1:23" ht="15" customHeight="1" x14ac:dyDescent="0.35">
      <c r="A21" s="57">
        <v>11</v>
      </c>
      <c r="B21" s="58" t="s">
        <v>45</v>
      </c>
      <c r="C21" s="58" t="s">
        <v>45</v>
      </c>
      <c r="D21" s="58"/>
      <c r="E21" s="58" t="s">
        <v>87</v>
      </c>
      <c r="F21" s="58" t="s">
        <v>87</v>
      </c>
      <c r="G21" s="58" t="s">
        <v>87</v>
      </c>
      <c r="H21" s="58" t="s">
        <v>164</v>
      </c>
      <c r="I21" s="59" t="s">
        <v>46</v>
      </c>
      <c r="J21" s="60">
        <v>1003</v>
      </c>
      <c r="K21" s="61">
        <v>393</v>
      </c>
      <c r="L21" s="78" t="s">
        <v>332</v>
      </c>
      <c r="M21" s="69" t="s">
        <v>243</v>
      </c>
      <c r="N21" s="63">
        <v>8</v>
      </c>
      <c r="O21" s="60"/>
      <c r="P21" s="73" t="s">
        <v>217</v>
      </c>
      <c r="Q21" s="73" t="s">
        <v>218</v>
      </c>
      <c r="R21" s="60">
        <f>J21-S21</f>
        <v>393</v>
      </c>
      <c r="S21" s="60">
        <v>610</v>
      </c>
      <c r="T21" s="60"/>
      <c r="U21" s="70" t="s">
        <v>18</v>
      </c>
      <c r="V21" s="71" t="s">
        <v>19</v>
      </c>
      <c r="W21" s="72" t="s">
        <v>43</v>
      </c>
    </row>
    <row r="22" spans="1:23" ht="15" customHeight="1" x14ac:dyDescent="0.35">
      <c r="A22" s="57">
        <v>1</v>
      </c>
      <c r="B22" s="58" t="s">
        <v>9</v>
      </c>
      <c r="C22" s="58" t="s">
        <v>10</v>
      </c>
      <c r="D22" s="58"/>
      <c r="E22" s="58" t="s">
        <v>158</v>
      </c>
      <c r="F22" s="58" t="s">
        <v>158</v>
      </c>
      <c r="G22" s="58" t="s">
        <v>158</v>
      </c>
      <c r="H22" s="58" t="s">
        <v>162</v>
      </c>
      <c r="I22" s="59" t="s">
        <v>11</v>
      </c>
      <c r="J22" s="60">
        <v>1603</v>
      </c>
      <c r="K22" s="61">
        <v>1197</v>
      </c>
      <c r="L22" s="62" t="s">
        <v>323</v>
      </c>
      <c r="M22" s="116"/>
      <c r="N22" s="63">
        <v>289.60000000000002</v>
      </c>
      <c r="O22" s="60" t="s">
        <v>207</v>
      </c>
      <c r="P22" s="64"/>
      <c r="Q22" s="64"/>
      <c r="R22" s="60"/>
      <c r="S22" s="60"/>
      <c r="T22" s="60"/>
      <c r="U22" s="65" t="s">
        <v>12</v>
      </c>
      <c r="V22" s="66" t="s">
        <v>13</v>
      </c>
      <c r="W22" s="67" t="s">
        <v>14</v>
      </c>
    </row>
    <row r="23" spans="1:23" ht="15" customHeight="1" x14ac:dyDescent="0.35">
      <c r="A23" s="57">
        <v>42</v>
      </c>
      <c r="B23" s="77" t="s">
        <v>141</v>
      </c>
      <c r="C23" s="77"/>
      <c r="D23" s="77"/>
      <c r="E23" s="58" t="s">
        <v>160</v>
      </c>
      <c r="F23" s="58" t="s">
        <v>160</v>
      </c>
      <c r="G23" s="58" t="s">
        <v>160</v>
      </c>
      <c r="H23" s="58" t="s">
        <v>162</v>
      </c>
      <c r="I23" s="77" t="s">
        <v>142</v>
      </c>
      <c r="J23" s="81">
        <v>504</v>
      </c>
      <c r="K23" s="82">
        <v>84</v>
      </c>
      <c r="L23" s="137" t="s">
        <v>299</v>
      </c>
      <c r="M23" s="69" t="s">
        <v>243</v>
      </c>
      <c r="N23" s="63">
        <v>2.8</v>
      </c>
      <c r="O23" s="69" t="s">
        <v>243</v>
      </c>
      <c r="P23" s="77" t="s">
        <v>271</v>
      </c>
      <c r="Q23" s="77" t="s">
        <v>272</v>
      </c>
      <c r="R23" s="77">
        <f>J23-S23</f>
        <v>84</v>
      </c>
      <c r="S23" s="77">
        <v>420</v>
      </c>
      <c r="T23" s="77"/>
      <c r="U23" s="92" t="s">
        <v>12</v>
      </c>
      <c r="V23" s="88" t="s">
        <v>35</v>
      </c>
      <c r="W23" s="93" t="s">
        <v>31</v>
      </c>
    </row>
    <row r="24" spans="1:23" ht="15" customHeight="1" x14ac:dyDescent="0.35">
      <c r="A24" s="57">
        <v>31</v>
      </c>
      <c r="B24" s="77" t="s">
        <v>118</v>
      </c>
      <c r="C24" s="77"/>
      <c r="D24" s="77"/>
      <c r="E24" s="58" t="s">
        <v>160</v>
      </c>
      <c r="F24" s="58" t="s">
        <v>160</v>
      </c>
      <c r="G24" s="58" t="s">
        <v>160</v>
      </c>
      <c r="H24" s="58" t="s">
        <v>163</v>
      </c>
      <c r="I24" s="77" t="s">
        <v>119</v>
      </c>
      <c r="J24" s="81">
        <v>724</v>
      </c>
      <c r="K24" s="82">
        <v>152</v>
      </c>
      <c r="L24" s="137" t="s">
        <v>299</v>
      </c>
      <c r="M24" s="69" t="s">
        <v>243</v>
      </c>
      <c r="N24" s="63">
        <v>2.7</v>
      </c>
      <c r="O24" s="69" t="s">
        <v>243</v>
      </c>
      <c r="P24" s="77" t="s">
        <v>247</v>
      </c>
      <c r="Q24" s="77" t="s">
        <v>248</v>
      </c>
      <c r="R24" s="77">
        <f>J24-S24</f>
        <v>152</v>
      </c>
      <c r="S24" s="77">
        <v>572</v>
      </c>
      <c r="T24" s="77"/>
      <c r="U24" s="87" t="s">
        <v>30</v>
      </c>
      <c r="V24" s="88" t="s">
        <v>35</v>
      </c>
      <c r="W24" s="90" t="s">
        <v>120</v>
      </c>
    </row>
    <row r="25" spans="1:23" ht="15" customHeight="1" x14ac:dyDescent="0.35">
      <c r="A25" s="57">
        <v>41</v>
      </c>
      <c r="B25" s="58" t="s">
        <v>98</v>
      </c>
      <c r="C25" s="77"/>
      <c r="D25" s="77"/>
      <c r="E25" s="58" t="s">
        <v>160</v>
      </c>
      <c r="F25" s="58" t="s">
        <v>87</v>
      </c>
      <c r="G25" s="58" t="s">
        <v>160</v>
      </c>
      <c r="H25" s="58" t="s">
        <v>166</v>
      </c>
      <c r="I25" s="77" t="s">
        <v>99</v>
      </c>
      <c r="J25" s="81">
        <v>419</v>
      </c>
      <c r="K25" s="82">
        <v>157</v>
      </c>
      <c r="L25" s="123" t="s">
        <v>184</v>
      </c>
      <c r="M25" s="84" t="s">
        <v>243</v>
      </c>
      <c r="N25" s="63">
        <v>12</v>
      </c>
      <c r="O25" s="84" t="s">
        <v>243</v>
      </c>
      <c r="P25" s="77" t="s">
        <v>266</v>
      </c>
      <c r="Q25" s="77" t="s">
        <v>267</v>
      </c>
      <c r="R25" s="77">
        <f>J25-S25</f>
        <v>157</v>
      </c>
      <c r="S25" s="77">
        <v>262</v>
      </c>
      <c r="T25" s="77"/>
      <c r="U25" s="92" t="s">
        <v>12</v>
      </c>
      <c r="V25" s="86" t="s">
        <v>93</v>
      </c>
      <c r="W25" s="93" t="s">
        <v>31</v>
      </c>
    </row>
    <row r="26" spans="1:23" ht="15" customHeight="1" x14ac:dyDescent="0.35">
      <c r="A26" s="57">
        <v>7</v>
      </c>
      <c r="B26" s="58" t="s">
        <v>37</v>
      </c>
      <c r="C26" s="119" t="s">
        <v>38</v>
      </c>
      <c r="D26" s="119"/>
      <c r="E26" s="58" t="s">
        <v>158</v>
      </c>
      <c r="F26" s="58" t="s">
        <v>158</v>
      </c>
      <c r="G26" s="58" t="s">
        <v>158</v>
      </c>
      <c r="H26" s="77" t="s">
        <v>303</v>
      </c>
      <c r="I26" s="59" t="s">
        <v>39</v>
      </c>
      <c r="J26" s="60">
        <v>718</v>
      </c>
      <c r="K26" s="61">
        <v>468</v>
      </c>
      <c r="L26" s="68" t="s">
        <v>325</v>
      </c>
      <c r="M26" s="69" t="s">
        <v>243</v>
      </c>
      <c r="N26" s="60">
        <v>36</v>
      </c>
      <c r="O26" s="60" t="s">
        <v>207</v>
      </c>
      <c r="P26" s="138" t="s">
        <v>198</v>
      </c>
      <c r="Q26" s="64" t="s">
        <v>197</v>
      </c>
      <c r="R26" s="60">
        <f>J26-S26</f>
        <v>468</v>
      </c>
      <c r="S26" s="60">
        <v>250</v>
      </c>
      <c r="T26" s="60"/>
      <c r="U26" s="74" t="s">
        <v>30</v>
      </c>
      <c r="V26" s="76" t="s">
        <v>35</v>
      </c>
      <c r="W26" s="75" t="s">
        <v>36</v>
      </c>
    </row>
    <row r="27" spans="1:23" ht="15" customHeight="1" x14ac:dyDescent="0.35">
      <c r="A27" s="57">
        <v>3</v>
      </c>
      <c r="B27" s="58" t="s">
        <v>21</v>
      </c>
      <c r="C27" s="58" t="s">
        <v>22</v>
      </c>
      <c r="D27" s="58"/>
      <c r="E27" s="58" t="s">
        <v>87</v>
      </c>
      <c r="F27" s="58" t="s">
        <v>158</v>
      </c>
      <c r="G27" s="58" t="s">
        <v>158</v>
      </c>
      <c r="H27" s="58" t="s">
        <v>164</v>
      </c>
      <c r="I27" s="59" t="s">
        <v>23</v>
      </c>
      <c r="J27" s="60">
        <v>1425</v>
      </c>
      <c r="K27" s="61">
        <v>662</v>
      </c>
      <c r="L27" s="68" t="s">
        <v>324</v>
      </c>
      <c r="M27" s="69" t="s">
        <v>243</v>
      </c>
      <c r="N27" s="63">
        <v>30.6</v>
      </c>
      <c r="O27" s="60"/>
      <c r="P27" s="73" t="s">
        <v>15</v>
      </c>
      <c r="Q27" s="73" t="s">
        <v>210</v>
      </c>
      <c r="R27" s="60">
        <f>J27-S27</f>
        <v>662</v>
      </c>
      <c r="S27" s="60">
        <v>763</v>
      </c>
      <c r="T27" s="60" t="s">
        <v>215</v>
      </c>
      <c r="U27" s="70" t="s">
        <v>18</v>
      </c>
      <c r="V27" s="66" t="s">
        <v>13</v>
      </c>
      <c r="W27" s="72" t="s">
        <v>24</v>
      </c>
    </row>
    <row r="28" spans="1:23" ht="15" customHeight="1" x14ac:dyDescent="0.35">
      <c r="A28" s="57">
        <v>60</v>
      </c>
      <c r="B28" s="116" t="s">
        <v>101</v>
      </c>
      <c r="C28" s="116" t="s">
        <v>101</v>
      </c>
      <c r="D28" s="116"/>
      <c r="E28" s="116"/>
      <c r="F28" s="58" t="s">
        <v>87</v>
      </c>
      <c r="G28" s="58" t="s">
        <v>87</v>
      </c>
      <c r="H28" s="116" t="s">
        <v>167</v>
      </c>
      <c r="I28" s="116" t="s">
        <v>309</v>
      </c>
      <c r="J28" s="81">
        <v>680</v>
      </c>
      <c r="K28" s="82">
        <v>117</v>
      </c>
      <c r="L28" s="62" t="s">
        <v>331</v>
      </c>
      <c r="M28" s="84" t="s">
        <v>243</v>
      </c>
      <c r="N28" s="63">
        <v>15</v>
      </c>
      <c r="O28" s="84" t="s">
        <v>243</v>
      </c>
      <c r="P28" s="129" t="s">
        <v>310</v>
      </c>
      <c r="Q28" s="129" t="s">
        <v>311</v>
      </c>
      <c r="R28" s="58">
        <f>J28-S28</f>
        <v>117</v>
      </c>
      <c r="S28" s="116">
        <v>563</v>
      </c>
      <c r="T28" s="116"/>
      <c r="U28" s="116"/>
      <c r="V28" s="86" t="s">
        <v>19</v>
      </c>
      <c r="W28" s="116"/>
    </row>
    <row r="29" spans="1:23" ht="15" customHeight="1" x14ac:dyDescent="0.35">
      <c r="A29" s="57">
        <v>25</v>
      </c>
      <c r="B29" s="58" t="s">
        <v>81</v>
      </c>
      <c r="C29" s="58" t="s">
        <v>82</v>
      </c>
      <c r="D29" s="58"/>
      <c r="E29" s="58" t="s">
        <v>87</v>
      </c>
      <c r="F29" s="58" t="s">
        <v>87</v>
      </c>
      <c r="G29" s="58" t="s">
        <v>87</v>
      </c>
      <c r="H29" s="58" t="s">
        <v>167</v>
      </c>
      <c r="I29" s="59" t="s">
        <v>83</v>
      </c>
      <c r="J29" s="60">
        <v>802</v>
      </c>
      <c r="K29" s="61">
        <v>168</v>
      </c>
      <c r="L29" s="62" t="s">
        <v>331</v>
      </c>
      <c r="M29" s="69" t="s">
        <v>243</v>
      </c>
      <c r="N29" s="63">
        <v>19.3</v>
      </c>
      <c r="O29" s="60" t="s">
        <v>243</v>
      </c>
      <c r="P29" s="64" t="s">
        <v>301</v>
      </c>
      <c r="Q29" s="64" t="s">
        <v>295</v>
      </c>
      <c r="R29" s="60">
        <f>J29-S29</f>
        <v>168</v>
      </c>
      <c r="S29" s="60">
        <v>634</v>
      </c>
      <c r="T29" s="60"/>
      <c r="U29" s="70" t="s">
        <v>18</v>
      </c>
      <c r="V29" s="71" t="s">
        <v>19</v>
      </c>
      <c r="W29" s="72" t="s">
        <v>78</v>
      </c>
    </row>
    <row r="30" spans="1:23" ht="15" customHeight="1" x14ac:dyDescent="0.35">
      <c r="A30" s="57">
        <v>30</v>
      </c>
      <c r="B30" s="77" t="s">
        <v>115</v>
      </c>
      <c r="C30" s="77"/>
      <c r="D30" s="77"/>
      <c r="E30" s="58" t="s">
        <v>160</v>
      </c>
      <c r="F30" s="58" t="s">
        <v>160</v>
      </c>
      <c r="G30" s="58" t="s">
        <v>160</v>
      </c>
      <c r="H30" s="58" t="s">
        <v>163</v>
      </c>
      <c r="I30" s="77" t="s">
        <v>116</v>
      </c>
      <c r="J30" s="81">
        <v>755</v>
      </c>
      <c r="K30" s="82">
        <v>110</v>
      </c>
      <c r="L30" s="137" t="s">
        <v>299</v>
      </c>
      <c r="M30" s="69" t="s">
        <v>243</v>
      </c>
      <c r="N30" s="63">
        <v>5.4</v>
      </c>
      <c r="O30" s="63" t="s">
        <v>243</v>
      </c>
      <c r="P30" s="63" t="s">
        <v>245</v>
      </c>
      <c r="Q30" s="63" t="s">
        <v>244</v>
      </c>
      <c r="R30" s="60">
        <f>J30-S30</f>
        <v>110</v>
      </c>
      <c r="S30" s="77">
        <v>645</v>
      </c>
      <c r="T30" s="63" t="s">
        <v>246</v>
      </c>
      <c r="U30" s="87" t="s">
        <v>30</v>
      </c>
      <c r="V30" s="88" t="s">
        <v>35</v>
      </c>
      <c r="W30" s="90" t="s">
        <v>117</v>
      </c>
    </row>
    <row r="31" spans="1:23" ht="15" customHeight="1" x14ac:dyDescent="0.35">
      <c r="A31" s="57">
        <v>35</v>
      </c>
      <c r="B31" s="77" t="s">
        <v>170</v>
      </c>
      <c r="C31" s="77"/>
      <c r="D31" s="77"/>
      <c r="E31" s="58" t="s">
        <v>160</v>
      </c>
      <c r="F31" s="58" t="s">
        <v>160</v>
      </c>
      <c r="G31" s="58" t="s">
        <v>160</v>
      </c>
      <c r="H31" s="58" t="s">
        <v>163</v>
      </c>
      <c r="I31" s="77" t="s">
        <v>126</v>
      </c>
      <c r="J31" s="81">
        <v>533</v>
      </c>
      <c r="K31" s="82">
        <v>93</v>
      </c>
      <c r="L31" s="137" t="s">
        <v>183</v>
      </c>
      <c r="M31" s="69" t="s">
        <v>243</v>
      </c>
      <c r="N31" s="63">
        <v>4.9000000000000004</v>
      </c>
      <c r="O31" s="84" t="s">
        <v>243</v>
      </c>
      <c r="P31" s="77" t="s">
        <v>255</v>
      </c>
      <c r="Q31" s="77" t="s">
        <v>256</v>
      </c>
      <c r="R31" s="77">
        <f>J31-S31</f>
        <v>93</v>
      </c>
      <c r="S31" s="77">
        <v>440</v>
      </c>
      <c r="T31" s="77"/>
      <c r="U31" s="87" t="s">
        <v>30</v>
      </c>
      <c r="V31" s="88" t="s">
        <v>35</v>
      </c>
      <c r="W31" s="90" t="s">
        <v>117</v>
      </c>
    </row>
    <row r="32" spans="1:23" s="163" customFormat="1" ht="15" customHeight="1" x14ac:dyDescent="0.35">
      <c r="A32" s="155">
        <v>64</v>
      </c>
      <c r="B32" s="156" t="s">
        <v>326</v>
      </c>
      <c r="C32" s="156"/>
      <c r="D32" s="156" t="s">
        <v>327</v>
      </c>
      <c r="E32" s="156"/>
      <c r="F32" s="157" t="s">
        <v>87</v>
      </c>
      <c r="G32" s="157" t="s">
        <v>160</v>
      </c>
      <c r="H32" s="158" t="s">
        <v>166</v>
      </c>
      <c r="I32" s="156" t="s">
        <v>97</v>
      </c>
      <c r="J32" s="159">
        <v>307</v>
      </c>
      <c r="K32" s="156">
        <v>113</v>
      </c>
      <c r="L32" s="160" t="s">
        <v>184</v>
      </c>
      <c r="M32" s="156" t="s">
        <v>243</v>
      </c>
      <c r="N32" s="156">
        <v>12.8</v>
      </c>
      <c r="O32" s="156" t="s">
        <v>243</v>
      </c>
      <c r="P32" s="161" t="s">
        <v>329</v>
      </c>
      <c r="Q32" s="161" t="s">
        <v>330</v>
      </c>
      <c r="R32" s="156">
        <f>J32-S32</f>
        <v>113</v>
      </c>
      <c r="S32" s="156">
        <v>194</v>
      </c>
      <c r="T32" s="156"/>
      <c r="U32" s="156"/>
      <c r="V32" s="162" t="s">
        <v>93</v>
      </c>
      <c r="W32" s="156"/>
    </row>
    <row r="33" spans="1:23" ht="15" customHeight="1" x14ac:dyDescent="0.35">
      <c r="A33" s="57">
        <v>44</v>
      </c>
      <c r="B33" s="77" t="s">
        <v>145</v>
      </c>
      <c r="C33" s="77"/>
      <c r="D33" s="77"/>
      <c r="E33" s="58" t="s">
        <v>160</v>
      </c>
      <c r="F33" s="58" t="s">
        <v>160</v>
      </c>
      <c r="G33" s="58" t="s">
        <v>160</v>
      </c>
      <c r="H33" s="77" t="s">
        <v>164</v>
      </c>
      <c r="I33" s="77" t="s">
        <v>146</v>
      </c>
      <c r="J33" s="81">
        <v>501</v>
      </c>
      <c r="K33" s="82">
        <v>69</v>
      </c>
      <c r="L33" s="137" t="s">
        <v>183</v>
      </c>
      <c r="M33" s="84" t="s">
        <v>243</v>
      </c>
      <c r="N33" s="63">
        <v>2.8</v>
      </c>
      <c r="O33" s="84" t="s">
        <v>243</v>
      </c>
      <c r="P33" s="77" t="s">
        <v>274</v>
      </c>
      <c r="Q33" s="77" t="s">
        <v>275</v>
      </c>
      <c r="R33" s="77">
        <f>J33-S33</f>
        <v>69</v>
      </c>
      <c r="S33" s="77">
        <v>432</v>
      </c>
      <c r="T33" s="77"/>
      <c r="U33" s="85" t="s">
        <v>18</v>
      </c>
      <c r="V33" s="86" t="s">
        <v>19</v>
      </c>
      <c r="W33" s="91" t="s">
        <v>52</v>
      </c>
    </row>
    <row r="34" spans="1:23" ht="15" customHeight="1" x14ac:dyDescent="0.35">
      <c r="A34" s="57">
        <v>38</v>
      </c>
      <c r="B34" s="77" t="s">
        <v>132</v>
      </c>
      <c r="C34" s="77"/>
      <c r="D34" s="77"/>
      <c r="E34" s="58" t="s">
        <v>160</v>
      </c>
      <c r="F34" s="58" t="s">
        <v>160</v>
      </c>
      <c r="G34" s="58" t="s">
        <v>160</v>
      </c>
      <c r="H34" s="77" t="s">
        <v>171</v>
      </c>
      <c r="I34" s="77" t="s">
        <v>133</v>
      </c>
      <c r="J34" s="81">
        <v>572</v>
      </c>
      <c r="K34" s="82">
        <v>50</v>
      </c>
      <c r="L34" s="137" t="s">
        <v>183</v>
      </c>
      <c r="M34" s="89" t="s">
        <v>243</v>
      </c>
      <c r="N34" s="63">
        <v>2.2000000000000002</v>
      </c>
      <c r="O34" s="69" t="s">
        <v>243</v>
      </c>
      <c r="P34" s="77" t="s">
        <v>260</v>
      </c>
      <c r="Q34" s="77" t="s">
        <v>261</v>
      </c>
      <c r="R34" s="77">
        <f>J34-S34</f>
        <v>50</v>
      </c>
      <c r="S34" s="77">
        <v>522</v>
      </c>
      <c r="T34" s="77"/>
      <c r="U34" s="92" t="s">
        <v>12</v>
      </c>
      <c r="V34" s="86" t="s">
        <v>19</v>
      </c>
      <c r="W34" s="93" t="s">
        <v>24</v>
      </c>
    </row>
    <row r="35" spans="1:23" ht="15" customHeight="1" x14ac:dyDescent="0.35">
      <c r="A35" s="57">
        <v>43</v>
      </c>
      <c r="B35" s="77" t="s">
        <v>143</v>
      </c>
      <c r="C35" s="77"/>
      <c r="D35" s="77"/>
      <c r="E35" s="58" t="s">
        <v>160</v>
      </c>
      <c r="F35" s="58" t="s">
        <v>160</v>
      </c>
      <c r="G35" s="58" t="s">
        <v>160</v>
      </c>
      <c r="H35" s="116" t="s">
        <v>306</v>
      </c>
      <c r="I35" s="77" t="s">
        <v>103</v>
      </c>
      <c r="J35" s="81">
        <v>501</v>
      </c>
      <c r="K35" s="82">
        <v>160</v>
      </c>
      <c r="L35" s="78" t="s">
        <v>183</v>
      </c>
      <c r="M35" s="84" t="s">
        <v>243</v>
      </c>
      <c r="N35" s="63">
        <v>7.5</v>
      </c>
      <c r="O35" s="84" t="s">
        <v>243</v>
      </c>
      <c r="P35" s="77" t="s">
        <v>144</v>
      </c>
      <c r="Q35" s="77"/>
      <c r="R35" s="77">
        <f>J35-S35</f>
        <v>160</v>
      </c>
      <c r="S35" s="77">
        <v>341</v>
      </c>
      <c r="T35" s="77"/>
      <c r="U35" s="92" t="s">
        <v>12</v>
      </c>
      <c r="V35" s="88" t="s">
        <v>35</v>
      </c>
      <c r="W35" s="93" t="s">
        <v>117</v>
      </c>
    </row>
    <row r="36" spans="1:23" ht="15" customHeight="1" x14ac:dyDescent="0.35">
      <c r="A36" s="57">
        <v>62</v>
      </c>
      <c r="B36" s="116" t="s">
        <v>315</v>
      </c>
      <c r="C36" s="116"/>
      <c r="D36" s="116"/>
      <c r="E36" s="116"/>
      <c r="F36" s="58" t="s">
        <v>87</v>
      </c>
      <c r="G36" s="58" t="s">
        <v>87</v>
      </c>
      <c r="H36" s="116" t="s">
        <v>162</v>
      </c>
      <c r="I36" s="116" t="s">
        <v>316</v>
      </c>
      <c r="J36" s="81">
        <v>672</v>
      </c>
      <c r="K36" s="82">
        <v>187</v>
      </c>
      <c r="L36" s="62" t="s">
        <v>331</v>
      </c>
      <c r="M36" s="84" t="s">
        <v>243</v>
      </c>
      <c r="N36" s="82">
        <v>19.3</v>
      </c>
      <c r="O36" s="84" t="s">
        <v>243</v>
      </c>
      <c r="P36" s="129" t="s">
        <v>317</v>
      </c>
      <c r="Q36" s="129" t="s">
        <v>318</v>
      </c>
      <c r="R36" s="58">
        <f>J36-S36</f>
        <v>187</v>
      </c>
      <c r="S36" s="116">
        <v>485</v>
      </c>
      <c r="T36" s="116"/>
      <c r="U36" s="116"/>
      <c r="V36" s="86" t="s">
        <v>19</v>
      </c>
      <c r="W36" s="116"/>
    </row>
    <row r="37" spans="1:23" ht="15" customHeight="1" x14ac:dyDescent="0.35">
      <c r="A37" s="57">
        <v>50</v>
      </c>
      <c r="B37" s="94" t="s">
        <v>94</v>
      </c>
      <c r="C37" s="58" t="s">
        <v>94</v>
      </c>
      <c r="D37" s="58"/>
      <c r="E37" s="58" t="s">
        <v>160</v>
      </c>
      <c r="F37" s="58" t="s">
        <v>87</v>
      </c>
      <c r="G37" s="58" t="s">
        <v>87</v>
      </c>
      <c r="H37" s="77" t="s">
        <v>166</v>
      </c>
      <c r="I37" s="59" t="s">
        <v>85</v>
      </c>
      <c r="J37" s="60">
        <v>586</v>
      </c>
      <c r="K37" s="61">
        <v>196</v>
      </c>
      <c r="L37" s="62" t="s">
        <v>331</v>
      </c>
      <c r="M37" s="84" t="s">
        <v>243</v>
      </c>
      <c r="N37" s="63">
        <v>15</v>
      </c>
      <c r="O37" s="69" t="s">
        <v>243</v>
      </c>
      <c r="P37" s="116" t="s">
        <v>285</v>
      </c>
      <c r="Q37" s="116" t="s">
        <v>286</v>
      </c>
      <c r="R37" s="58">
        <f>J37-S37</f>
        <v>196</v>
      </c>
      <c r="S37" s="116">
        <v>390</v>
      </c>
      <c r="T37" s="116"/>
      <c r="U37" s="116"/>
      <c r="V37" s="95" t="s">
        <v>93</v>
      </c>
      <c r="W37" s="116"/>
    </row>
    <row r="38" spans="1:23" ht="15" customHeight="1" x14ac:dyDescent="0.35">
      <c r="A38" s="57">
        <v>52</v>
      </c>
      <c r="B38" s="58" t="s">
        <v>95</v>
      </c>
      <c r="C38" s="116"/>
      <c r="D38" s="116"/>
      <c r="E38" s="58" t="s">
        <v>160</v>
      </c>
      <c r="F38" s="58" t="s">
        <v>87</v>
      </c>
      <c r="G38" s="58" t="s">
        <v>87</v>
      </c>
      <c r="H38" s="77" t="s">
        <v>166</v>
      </c>
      <c r="I38" s="59" t="s">
        <v>85</v>
      </c>
      <c r="J38" s="60">
        <v>557</v>
      </c>
      <c r="K38" s="61">
        <v>192</v>
      </c>
      <c r="L38" s="62" t="s">
        <v>331</v>
      </c>
      <c r="M38" s="84" t="s">
        <v>243</v>
      </c>
      <c r="N38" s="63">
        <v>15.2</v>
      </c>
      <c r="O38" s="84" t="s">
        <v>243</v>
      </c>
      <c r="P38" s="116" t="s">
        <v>179</v>
      </c>
      <c r="Q38" s="116" t="s">
        <v>289</v>
      </c>
      <c r="R38" s="58">
        <f>J38-S38</f>
        <v>192</v>
      </c>
      <c r="S38" s="116">
        <v>365</v>
      </c>
      <c r="T38" s="116"/>
      <c r="U38" s="95" t="s">
        <v>140</v>
      </c>
      <c r="V38" s="95" t="s">
        <v>93</v>
      </c>
      <c r="W38" s="67" t="s">
        <v>86</v>
      </c>
    </row>
    <row r="39" spans="1:23" ht="15" customHeight="1" x14ac:dyDescent="0.35">
      <c r="A39" s="57">
        <v>53</v>
      </c>
      <c r="B39" s="116" t="s">
        <v>96</v>
      </c>
      <c r="C39" s="116"/>
      <c r="D39" s="116"/>
      <c r="E39" s="58" t="s">
        <v>290</v>
      </c>
      <c r="F39" s="58" t="s">
        <v>87</v>
      </c>
      <c r="G39" s="58" t="s">
        <v>87</v>
      </c>
      <c r="H39" s="117" t="s">
        <v>166</v>
      </c>
      <c r="I39" s="59" t="s">
        <v>85</v>
      </c>
      <c r="J39" s="60">
        <v>582</v>
      </c>
      <c r="K39" s="61">
        <v>187</v>
      </c>
      <c r="L39" s="62" t="s">
        <v>331</v>
      </c>
      <c r="M39" s="84" t="s">
        <v>243</v>
      </c>
      <c r="N39" s="63">
        <v>16.399999999999999</v>
      </c>
      <c r="O39" s="84" t="s">
        <v>243</v>
      </c>
      <c r="P39" s="129" t="s">
        <v>291</v>
      </c>
      <c r="Q39" s="129" t="s">
        <v>292</v>
      </c>
      <c r="R39" s="58">
        <f>J39-S39</f>
        <v>187</v>
      </c>
      <c r="S39" s="116">
        <v>395</v>
      </c>
      <c r="T39" s="116"/>
      <c r="U39" s="95" t="s">
        <v>140</v>
      </c>
      <c r="V39" s="95" t="s">
        <v>93</v>
      </c>
      <c r="W39" s="67" t="s">
        <v>86</v>
      </c>
    </row>
    <row r="40" spans="1:23" ht="15" customHeight="1" x14ac:dyDescent="0.35">
      <c r="A40" s="57">
        <v>26</v>
      </c>
      <c r="B40" s="58" t="s">
        <v>84</v>
      </c>
      <c r="C40" s="58" t="s">
        <v>84</v>
      </c>
      <c r="D40" s="58"/>
      <c r="E40" s="58" t="s">
        <v>87</v>
      </c>
      <c r="F40" s="58" t="s">
        <v>87</v>
      </c>
      <c r="G40" s="58" t="s">
        <v>87</v>
      </c>
      <c r="H40" s="58" t="s">
        <v>166</v>
      </c>
      <c r="I40" s="59" t="s">
        <v>85</v>
      </c>
      <c r="J40" s="60">
        <v>608</v>
      </c>
      <c r="K40" s="61">
        <v>168</v>
      </c>
      <c r="L40" s="62" t="s">
        <v>331</v>
      </c>
      <c r="M40" s="69" t="s">
        <v>243</v>
      </c>
      <c r="N40" s="60">
        <v>16</v>
      </c>
      <c r="O40" s="60"/>
      <c r="P40" s="64" t="s">
        <v>296</v>
      </c>
      <c r="Q40" s="64" t="s">
        <v>297</v>
      </c>
      <c r="R40" s="60">
        <f>J40-S40</f>
        <v>168</v>
      </c>
      <c r="S40" s="60">
        <v>440</v>
      </c>
      <c r="T40" s="60"/>
      <c r="U40" s="65" t="s">
        <v>12</v>
      </c>
      <c r="V40" s="71" t="s">
        <v>19</v>
      </c>
      <c r="W40" s="67" t="s">
        <v>86</v>
      </c>
    </row>
    <row r="41" spans="1:23" ht="15" customHeight="1" x14ac:dyDescent="0.35">
      <c r="A41" s="57">
        <v>37</v>
      </c>
      <c r="B41" s="77" t="s">
        <v>130</v>
      </c>
      <c r="C41" s="77"/>
      <c r="D41" s="77"/>
      <c r="E41" s="58" t="s">
        <v>160</v>
      </c>
      <c r="F41" s="58" t="s">
        <v>160</v>
      </c>
      <c r="G41" s="58" t="s">
        <v>160</v>
      </c>
      <c r="H41" s="77" t="s">
        <v>167</v>
      </c>
      <c r="I41" s="77" t="s">
        <v>131</v>
      </c>
      <c r="J41" s="81">
        <v>574</v>
      </c>
      <c r="K41" s="82">
        <v>174</v>
      </c>
      <c r="L41" s="137" t="s">
        <v>299</v>
      </c>
      <c r="M41" s="69" t="s">
        <v>243</v>
      </c>
      <c r="N41" s="63">
        <v>4.5999999999999996</v>
      </c>
      <c r="O41" s="69" t="s">
        <v>243</v>
      </c>
      <c r="P41" s="77" t="s">
        <v>258</v>
      </c>
      <c r="Q41" s="77" t="s">
        <v>259</v>
      </c>
      <c r="R41" s="77">
        <f>J41-S41</f>
        <v>174</v>
      </c>
      <c r="S41" s="77">
        <v>400</v>
      </c>
      <c r="T41" s="77"/>
      <c r="U41" s="85" t="s">
        <v>18</v>
      </c>
      <c r="V41" s="86" t="s">
        <v>19</v>
      </c>
      <c r="W41" s="91" t="s">
        <v>117</v>
      </c>
    </row>
    <row r="42" spans="1:23" ht="15" customHeight="1" x14ac:dyDescent="0.35">
      <c r="A42" s="57">
        <v>29</v>
      </c>
      <c r="B42" s="77" t="s">
        <v>113</v>
      </c>
      <c r="C42" s="77"/>
      <c r="D42" s="77"/>
      <c r="E42" s="58" t="s">
        <v>160</v>
      </c>
      <c r="F42" s="58" t="s">
        <v>160</v>
      </c>
      <c r="G42" s="58" t="s">
        <v>160</v>
      </c>
      <c r="H42" s="77" t="s">
        <v>165</v>
      </c>
      <c r="I42" s="77" t="s">
        <v>114</v>
      </c>
      <c r="J42" s="81">
        <v>841</v>
      </c>
      <c r="K42" s="82">
        <v>121</v>
      </c>
      <c r="L42" s="124" t="s">
        <v>299</v>
      </c>
      <c r="M42" s="89" t="s">
        <v>243</v>
      </c>
      <c r="N42" s="63">
        <v>2.9</v>
      </c>
      <c r="O42" s="69" t="s">
        <v>243</v>
      </c>
      <c r="P42" s="77" t="s">
        <v>242</v>
      </c>
      <c r="Q42" s="77" t="s">
        <v>241</v>
      </c>
      <c r="R42" s="60">
        <f>J42-S42</f>
        <v>121</v>
      </c>
      <c r="S42" s="77">
        <v>720</v>
      </c>
      <c r="T42" s="77"/>
      <c r="U42" s="87" t="s">
        <v>30</v>
      </c>
      <c r="V42" s="86" t="s">
        <v>19</v>
      </c>
      <c r="W42" s="90" t="s">
        <v>24</v>
      </c>
    </row>
    <row r="43" spans="1:23" ht="15" customHeight="1" x14ac:dyDescent="0.35">
      <c r="A43" s="57">
        <v>49</v>
      </c>
      <c r="B43" s="77" t="s">
        <v>155</v>
      </c>
      <c r="C43" s="77"/>
      <c r="D43" s="77"/>
      <c r="E43" s="58" t="s">
        <v>160</v>
      </c>
      <c r="F43" s="58" t="s">
        <v>160</v>
      </c>
      <c r="G43" s="58" t="s">
        <v>160</v>
      </c>
      <c r="H43" s="77" t="s">
        <v>167</v>
      </c>
      <c r="I43" s="77" t="s">
        <v>156</v>
      </c>
      <c r="J43" s="81">
        <v>344</v>
      </c>
      <c r="K43" s="82">
        <v>59</v>
      </c>
      <c r="L43" s="137" t="s">
        <v>182</v>
      </c>
      <c r="M43" s="84" t="s">
        <v>243</v>
      </c>
      <c r="N43" s="63">
        <v>8.3000000000000007</v>
      </c>
      <c r="O43" s="69" t="s">
        <v>243</v>
      </c>
      <c r="P43" s="77" t="s">
        <v>283</v>
      </c>
      <c r="Q43" s="77" t="s">
        <v>284</v>
      </c>
      <c r="R43" s="58">
        <f>J43-S43</f>
        <v>59</v>
      </c>
      <c r="S43" s="77">
        <v>285</v>
      </c>
      <c r="T43" s="77"/>
      <c r="U43" s="85" t="s">
        <v>18</v>
      </c>
      <c r="V43" s="86" t="s">
        <v>19</v>
      </c>
      <c r="W43" s="91" t="s">
        <v>43</v>
      </c>
    </row>
    <row r="44" spans="1:23" ht="15" customHeight="1" x14ac:dyDescent="0.35">
      <c r="A44" s="57">
        <v>34</v>
      </c>
      <c r="B44" s="77" t="s">
        <v>124</v>
      </c>
      <c r="C44" s="77"/>
      <c r="D44" s="77"/>
      <c r="E44" s="58" t="s">
        <v>160</v>
      </c>
      <c r="F44" s="58" t="s">
        <v>87</v>
      </c>
      <c r="G44" s="58" t="s">
        <v>160</v>
      </c>
      <c r="H44" s="77" t="s">
        <v>167</v>
      </c>
      <c r="I44" s="77" t="s">
        <v>125</v>
      </c>
      <c r="J44" s="81">
        <v>642</v>
      </c>
      <c r="K44" s="82">
        <v>92</v>
      </c>
      <c r="L44" s="68" t="s">
        <v>184</v>
      </c>
      <c r="M44" s="69" t="s">
        <v>243</v>
      </c>
      <c r="N44" s="63">
        <v>12</v>
      </c>
      <c r="O44" s="69" t="s">
        <v>243</v>
      </c>
      <c r="P44" s="77" t="s">
        <v>253</v>
      </c>
      <c r="Q44" s="77" t="s">
        <v>254</v>
      </c>
      <c r="R44" s="77">
        <f>J44-S44</f>
        <v>92</v>
      </c>
      <c r="S44" s="77">
        <v>550</v>
      </c>
      <c r="T44" s="77"/>
      <c r="U44" s="85" t="s">
        <v>18</v>
      </c>
      <c r="V44" s="86" t="s">
        <v>19</v>
      </c>
      <c r="W44" s="91" t="s">
        <v>120</v>
      </c>
    </row>
    <row r="45" spans="1:23" x14ac:dyDescent="0.35">
      <c r="A45" s="57">
        <v>46</v>
      </c>
      <c r="B45" s="118" t="s">
        <v>150</v>
      </c>
      <c r="C45" s="118"/>
      <c r="D45" s="118"/>
      <c r="E45" s="58" t="s">
        <v>160</v>
      </c>
      <c r="F45" s="58" t="s">
        <v>87</v>
      </c>
      <c r="G45" s="58" t="s">
        <v>160</v>
      </c>
      <c r="H45" s="58" t="s">
        <v>166</v>
      </c>
      <c r="I45" s="77" t="s">
        <v>139</v>
      </c>
      <c r="J45" s="101">
        <v>454</v>
      </c>
      <c r="K45" s="102">
        <v>150</v>
      </c>
      <c r="L45" s="68" t="s">
        <v>184</v>
      </c>
      <c r="M45" s="69" t="s">
        <v>243</v>
      </c>
      <c r="N45" s="63">
        <v>13</v>
      </c>
      <c r="O45" s="98" t="s">
        <v>243</v>
      </c>
      <c r="P45" s="119" t="s">
        <v>179</v>
      </c>
      <c r="Q45" s="119" t="s">
        <v>278</v>
      </c>
      <c r="R45" s="58">
        <f>J45-S45</f>
        <v>150</v>
      </c>
      <c r="S45" s="119">
        <v>304</v>
      </c>
      <c r="T45" s="119"/>
      <c r="U45" s="148" t="s">
        <v>140</v>
      </c>
      <c r="V45" s="95" t="s">
        <v>93</v>
      </c>
      <c r="W45" s="141" t="s">
        <v>117</v>
      </c>
    </row>
    <row r="46" spans="1:23" x14ac:dyDescent="0.35">
      <c r="A46" s="57">
        <v>47</v>
      </c>
      <c r="B46" s="119" t="s">
        <v>91</v>
      </c>
      <c r="C46" s="117"/>
      <c r="D46" s="117"/>
      <c r="E46" s="94" t="s">
        <v>160</v>
      </c>
      <c r="F46" s="94" t="s">
        <v>87</v>
      </c>
      <c r="G46" s="94" t="s">
        <v>87</v>
      </c>
      <c r="H46" s="118" t="s">
        <v>166</v>
      </c>
      <c r="I46" s="117" t="s">
        <v>92</v>
      </c>
      <c r="J46" s="101">
        <v>449</v>
      </c>
      <c r="K46" s="102">
        <v>159</v>
      </c>
      <c r="L46" s="62" t="s">
        <v>331</v>
      </c>
      <c r="M46" s="69" t="s">
        <v>243</v>
      </c>
      <c r="N46" s="99">
        <v>15.9</v>
      </c>
      <c r="O46" s="128" t="s">
        <v>243</v>
      </c>
      <c r="P46" s="119" t="s">
        <v>180</v>
      </c>
      <c r="Q46" s="119" t="s">
        <v>279</v>
      </c>
      <c r="R46" s="58">
        <f>J46-S46</f>
        <v>159</v>
      </c>
      <c r="S46" s="119">
        <v>290</v>
      </c>
      <c r="T46" s="119"/>
      <c r="U46" s="95" t="s">
        <v>140</v>
      </c>
      <c r="V46" s="95" t="s">
        <v>93</v>
      </c>
      <c r="W46" s="67" t="s">
        <v>86</v>
      </c>
    </row>
    <row r="47" spans="1:23" x14ac:dyDescent="0.35">
      <c r="A47" s="57">
        <v>39</v>
      </c>
      <c r="B47" s="118" t="s">
        <v>134</v>
      </c>
      <c r="C47" s="117"/>
      <c r="D47" s="117"/>
      <c r="E47" s="58" t="s">
        <v>160</v>
      </c>
      <c r="F47" s="58" t="s">
        <v>160</v>
      </c>
      <c r="G47" s="58" t="s">
        <v>160</v>
      </c>
      <c r="H47" s="77" t="s">
        <v>164</v>
      </c>
      <c r="I47" s="77" t="s">
        <v>135</v>
      </c>
      <c r="J47" s="101">
        <v>527</v>
      </c>
      <c r="K47" s="102">
        <v>127</v>
      </c>
      <c r="L47" s="124" t="s">
        <v>299</v>
      </c>
      <c r="M47" s="89" t="s">
        <v>243</v>
      </c>
      <c r="N47" s="99">
        <v>3.8</v>
      </c>
      <c r="O47" s="69" t="s">
        <v>243</v>
      </c>
      <c r="P47" s="117" t="s">
        <v>262</v>
      </c>
      <c r="Q47" s="117" t="s">
        <v>263</v>
      </c>
      <c r="R47" s="118">
        <f>J47-S47</f>
        <v>127</v>
      </c>
      <c r="S47" s="117">
        <v>400</v>
      </c>
      <c r="T47" s="117"/>
      <c r="U47" s="85" t="s">
        <v>18</v>
      </c>
      <c r="V47" s="86" t="s">
        <v>19</v>
      </c>
      <c r="W47" s="91" t="s">
        <v>120</v>
      </c>
    </row>
    <row r="48" spans="1:23" x14ac:dyDescent="0.35">
      <c r="A48" s="57">
        <v>23</v>
      </c>
      <c r="B48" s="119" t="s">
        <v>76</v>
      </c>
      <c r="C48" s="119" t="s">
        <v>76</v>
      </c>
      <c r="D48" s="119"/>
      <c r="E48" s="58" t="s">
        <v>87</v>
      </c>
      <c r="F48" s="58" t="s">
        <v>160</v>
      </c>
      <c r="G48" s="58" t="s">
        <v>160</v>
      </c>
      <c r="H48" s="58" t="s">
        <v>162</v>
      </c>
      <c r="I48" s="59" t="s">
        <v>77</v>
      </c>
      <c r="J48" s="96">
        <v>945</v>
      </c>
      <c r="K48" s="97">
        <v>220</v>
      </c>
      <c r="L48" s="124" t="s">
        <v>299</v>
      </c>
      <c r="M48" s="98" t="s">
        <v>243</v>
      </c>
      <c r="N48" s="96">
        <v>7</v>
      </c>
      <c r="O48" s="96"/>
      <c r="P48" s="146"/>
      <c r="Q48" s="139"/>
      <c r="R48" s="96"/>
      <c r="S48" s="146"/>
      <c r="T48" s="146"/>
      <c r="U48" s="65" t="s">
        <v>12</v>
      </c>
      <c r="V48" s="76" t="s">
        <v>35</v>
      </c>
      <c r="W48" s="67" t="s">
        <v>78</v>
      </c>
    </row>
    <row r="49" spans="1:23" x14ac:dyDescent="0.35">
      <c r="A49" s="57">
        <v>9</v>
      </c>
      <c r="B49" s="119" t="s">
        <v>42</v>
      </c>
      <c r="C49" s="119" t="s">
        <v>42</v>
      </c>
      <c r="D49" s="119"/>
      <c r="E49" s="94" t="s">
        <v>87</v>
      </c>
      <c r="F49" s="58" t="s">
        <v>87</v>
      </c>
      <c r="G49" s="58" t="s">
        <v>87</v>
      </c>
      <c r="H49" s="119" t="s">
        <v>164</v>
      </c>
      <c r="I49" s="144" t="s">
        <v>161</v>
      </c>
      <c r="J49" s="60">
        <v>992</v>
      </c>
      <c r="K49" s="61">
        <v>416</v>
      </c>
      <c r="L49" s="124" t="s">
        <v>332</v>
      </c>
      <c r="M49" s="69" t="s">
        <v>243</v>
      </c>
      <c r="N49" s="63">
        <v>7.9</v>
      </c>
      <c r="O49" s="60"/>
      <c r="P49" s="147" t="s">
        <v>213</v>
      </c>
      <c r="Q49" s="147" t="s">
        <v>214</v>
      </c>
      <c r="R49" s="60">
        <f>J49-S49</f>
        <v>416</v>
      </c>
      <c r="S49" s="146">
        <v>576</v>
      </c>
      <c r="T49" s="146"/>
      <c r="U49" s="149" t="s">
        <v>18</v>
      </c>
      <c r="V49" s="71" t="s">
        <v>19</v>
      </c>
      <c r="W49" s="150" t="s">
        <v>43</v>
      </c>
    </row>
    <row r="50" spans="1:23" x14ac:dyDescent="0.35">
      <c r="A50" s="57">
        <v>2</v>
      </c>
      <c r="B50" s="119" t="s">
        <v>15</v>
      </c>
      <c r="C50" s="119" t="s">
        <v>16</v>
      </c>
      <c r="D50" s="119"/>
      <c r="E50" s="94" t="s">
        <v>158</v>
      </c>
      <c r="F50" s="58" t="s">
        <v>158</v>
      </c>
      <c r="G50" s="58" t="s">
        <v>158</v>
      </c>
      <c r="H50" s="119" t="s">
        <v>164</v>
      </c>
      <c r="I50" s="144" t="s">
        <v>17</v>
      </c>
      <c r="J50" s="96">
        <v>1491</v>
      </c>
      <c r="K50" s="97">
        <v>983</v>
      </c>
      <c r="L50" s="80" t="s">
        <v>324</v>
      </c>
      <c r="M50" s="69" t="s">
        <v>243</v>
      </c>
      <c r="N50" s="96">
        <v>94</v>
      </c>
      <c r="O50" s="60" t="s">
        <v>108</v>
      </c>
      <c r="P50" s="139" t="s">
        <v>9</v>
      </c>
      <c r="Q50" s="139" t="s">
        <v>187</v>
      </c>
      <c r="R50" s="60">
        <f>J50-S50</f>
        <v>983</v>
      </c>
      <c r="S50" s="146">
        <v>508</v>
      </c>
      <c r="T50" s="146" t="s">
        <v>190</v>
      </c>
      <c r="U50" s="149" t="s">
        <v>18</v>
      </c>
      <c r="V50" s="71" t="s">
        <v>19</v>
      </c>
      <c r="W50" s="150" t="s">
        <v>20</v>
      </c>
    </row>
    <row r="51" spans="1:23" ht="15" customHeight="1" x14ac:dyDescent="0.35">
      <c r="A51" s="57">
        <v>10</v>
      </c>
      <c r="B51" s="58" t="s">
        <v>44</v>
      </c>
      <c r="C51" s="58" t="s">
        <v>44</v>
      </c>
      <c r="D51" s="58"/>
      <c r="E51" s="58" t="s">
        <v>87</v>
      </c>
      <c r="F51" s="58" t="s">
        <v>87</v>
      </c>
      <c r="G51" s="58" t="s">
        <v>87</v>
      </c>
      <c r="H51" s="58" t="s">
        <v>164</v>
      </c>
      <c r="I51" s="59" t="s">
        <v>17</v>
      </c>
      <c r="J51" s="60">
        <v>1423</v>
      </c>
      <c r="K51" s="61">
        <v>410</v>
      </c>
      <c r="L51" s="78" t="s">
        <v>332</v>
      </c>
      <c r="M51" s="69" t="s">
        <v>243</v>
      </c>
      <c r="N51" s="63">
        <v>12.7</v>
      </c>
      <c r="O51" s="60"/>
      <c r="P51" s="73" t="s">
        <v>15</v>
      </c>
      <c r="Q51" s="73" t="s">
        <v>216</v>
      </c>
      <c r="R51" s="60">
        <f>J51-S51</f>
        <v>410</v>
      </c>
      <c r="S51" s="60">
        <v>1013</v>
      </c>
      <c r="T51" s="60"/>
      <c r="U51" s="70" t="s">
        <v>18</v>
      </c>
      <c r="V51" s="71" t="s">
        <v>19</v>
      </c>
      <c r="W51" s="72" t="s">
        <v>43</v>
      </c>
    </row>
    <row r="52" spans="1:23" x14ac:dyDescent="0.35">
      <c r="A52" s="57">
        <v>57</v>
      </c>
      <c r="B52" s="142" t="s">
        <v>302</v>
      </c>
      <c r="C52" s="142"/>
      <c r="D52" s="142"/>
      <c r="E52" s="142"/>
      <c r="F52" s="58" t="s">
        <v>87</v>
      </c>
      <c r="G52" s="58" t="s">
        <v>87</v>
      </c>
      <c r="H52" s="77" t="s">
        <v>303</v>
      </c>
      <c r="I52" s="77" t="s">
        <v>148</v>
      </c>
      <c r="J52" s="96">
        <v>393</v>
      </c>
      <c r="K52" s="97">
        <v>135</v>
      </c>
      <c r="L52" s="145" t="s">
        <v>331</v>
      </c>
      <c r="M52" s="100" t="s">
        <v>243</v>
      </c>
      <c r="N52" s="99">
        <v>19.899999999999999</v>
      </c>
      <c r="O52" s="100" t="s">
        <v>243</v>
      </c>
      <c r="P52" s="143" t="s">
        <v>304</v>
      </c>
      <c r="Q52" s="143" t="s">
        <v>305</v>
      </c>
      <c r="R52" s="58">
        <f>J52-S52</f>
        <v>135</v>
      </c>
      <c r="S52" s="142">
        <v>258</v>
      </c>
      <c r="T52" s="142"/>
      <c r="U52" s="142"/>
      <c r="V52" s="88" t="s">
        <v>35</v>
      </c>
      <c r="W52" s="142"/>
    </row>
    <row r="53" spans="1:23" x14ac:dyDescent="0.35">
      <c r="A53" s="57">
        <v>48</v>
      </c>
      <c r="B53" s="117" t="s">
        <v>153</v>
      </c>
      <c r="C53" s="117"/>
      <c r="D53" s="117"/>
      <c r="E53" s="119" t="s">
        <v>160</v>
      </c>
      <c r="F53" s="94" t="s">
        <v>87</v>
      </c>
      <c r="G53" s="94" t="s">
        <v>160</v>
      </c>
      <c r="H53" s="117" t="s">
        <v>303</v>
      </c>
      <c r="I53" s="117" t="s">
        <v>154</v>
      </c>
      <c r="J53" s="101">
        <v>354</v>
      </c>
      <c r="K53" s="102">
        <v>105</v>
      </c>
      <c r="L53" s="80" t="s">
        <v>184</v>
      </c>
      <c r="M53" s="98" t="s">
        <v>243</v>
      </c>
      <c r="N53" s="99">
        <v>11.1</v>
      </c>
      <c r="O53" s="98" t="s">
        <v>243</v>
      </c>
      <c r="P53" s="119" t="s">
        <v>181</v>
      </c>
      <c r="Q53" s="119" t="s">
        <v>282</v>
      </c>
      <c r="R53" s="94">
        <f>J53-S53</f>
        <v>105</v>
      </c>
      <c r="S53" s="119">
        <v>249</v>
      </c>
      <c r="T53" s="119"/>
      <c r="U53" s="140" t="s">
        <v>149</v>
      </c>
      <c r="V53" s="88" t="s">
        <v>35</v>
      </c>
      <c r="W53" s="141" t="s">
        <v>43</v>
      </c>
    </row>
    <row r="54" spans="1:23" x14ac:dyDescent="0.35">
      <c r="A54" s="57">
        <v>32</v>
      </c>
      <c r="B54" s="117" t="s">
        <v>121</v>
      </c>
      <c r="C54" s="117"/>
      <c r="D54" s="117"/>
      <c r="E54" s="119" t="s">
        <v>160</v>
      </c>
      <c r="F54" s="94" t="s">
        <v>160</v>
      </c>
      <c r="G54" s="94" t="s">
        <v>160</v>
      </c>
      <c r="H54" s="117" t="s">
        <v>165</v>
      </c>
      <c r="I54" s="117" t="s">
        <v>172</v>
      </c>
      <c r="J54" s="101">
        <v>714</v>
      </c>
      <c r="K54" s="102">
        <v>97</v>
      </c>
      <c r="L54" s="124" t="s">
        <v>183</v>
      </c>
      <c r="M54" s="100" t="s">
        <v>243</v>
      </c>
      <c r="N54" s="99">
        <v>6.6</v>
      </c>
      <c r="O54" s="100" t="s">
        <v>243</v>
      </c>
      <c r="P54" s="117" t="s">
        <v>250</v>
      </c>
      <c r="Q54" s="117" t="s">
        <v>249</v>
      </c>
      <c r="R54" s="118">
        <f>J54-S54</f>
        <v>97</v>
      </c>
      <c r="S54" s="117">
        <v>617</v>
      </c>
      <c r="T54" s="117"/>
      <c r="U54" s="132" t="s">
        <v>18</v>
      </c>
      <c r="V54" s="86" t="s">
        <v>19</v>
      </c>
      <c r="W54" s="135" t="s">
        <v>31</v>
      </c>
    </row>
  </sheetData>
  <autoFilter ref="A3:Z54" xr:uid="{00000000-0001-0000-0000-000000000000}"/>
  <sortState xmlns:xlrd2="http://schemas.microsoft.com/office/spreadsheetml/2017/richdata2" ref="A4:W54">
    <sortCondition ref="I17:I54"/>
  </sortState>
  <mergeCells count="2">
    <mergeCell ref="A1:P1"/>
    <mergeCell ref="A2:P2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0EA4-32B6-422F-8D12-88D3B072F08A}">
  <dimension ref="A2:W25"/>
  <sheetViews>
    <sheetView topLeftCell="A3" workbookViewId="0">
      <selection activeCell="B25" sqref="B25"/>
    </sheetView>
  </sheetViews>
  <sheetFormatPr defaultRowHeight="14.5" x14ac:dyDescent="0.35"/>
  <sheetData>
    <row r="2" spans="1:23" ht="30" customHeight="1" x14ac:dyDescent="0.35">
      <c r="A2" s="1" t="s">
        <v>0</v>
      </c>
      <c r="B2" s="1" t="s">
        <v>1</v>
      </c>
      <c r="C2" s="1" t="s">
        <v>2</v>
      </c>
      <c r="D2" s="1" t="s">
        <v>157</v>
      </c>
      <c r="E2" s="1" t="s">
        <v>298</v>
      </c>
      <c r="F2" s="1" t="s">
        <v>159</v>
      </c>
      <c r="G2" s="1" t="s">
        <v>6</v>
      </c>
      <c r="H2" s="1" t="s">
        <v>5</v>
      </c>
      <c r="I2" s="41" t="s">
        <v>3</v>
      </c>
      <c r="J2" s="34" t="s">
        <v>176</v>
      </c>
      <c r="K2" s="19" t="s">
        <v>106</v>
      </c>
      <c r="L2" s="1" t="s">
        <v>4</v>
      </c>
      <c r="M2" s="1" t="s">
        <v>206</v>
      </c>
      <c r="N2" s="34" t="s">
        <v>185</v>
      </c>
      <c r="O2" s="34" t="s">
        <v>186</v>
      </c>
      <c r="P2" s="1" t="s">
        <v>194</v>
      </c>
      <c r="Q2" s="1" t="s">
        <v>188</v>
      </c>
      <c r="R2" s="1" t="s">
        <v>189</v>
      </c>
      <c r="S2" s="1" t="s">
        <v>89</v>
      </c>
      <c r="T2" s="1" t="s">
        <v>7</v>
      </c>
      <c r="U2" s="1" t="s">
        <v>8</v>
      </c>
    </row>
    <row r="3" spans="1:23" x14ac:dyDescent="0.35">
      <c r="A3" s="14"/>
      <c r="B3" s="15"/>
      <c r="C3" s="15"/>
      <c r="D3" s="16"/>
      <c r="E3" s="17"/>
      <c r="F3" s="17"/>
      <c r="G3" s="18"/>
      <c r="H3" s="6"/>
      <c r="I3" s="11"/>
      <c r="J3" s="7"/>
    </row>
    <row r="4" spans="1:23" x14ac:dyDescent="0.35">
      <c r="A4" s="14"/>
      <c r="B4" s="15"/>
      <c r="C4" s="15"/>
      <c r="D4" s="16"/>
      <c r="E4" s="17"/>
      <c r="F4" s="17"/>
      <c r="G4" s="5"/>
      <c r="H4" s="6" t="s">
        <v>12</v>
      </c>
      <c r="I4" s="11" t="s">
        <v>93</v>
      </c>
      <c r="J4" s="7" t="s">
        <v>86</v>
      </c>
    </row>
    <row r="5" spans="1:23" x14ac:dyDescent="0.35">
      <c r="A5" s="14"/>
      <c r="B5" s="15" t="s">
        <v>270</v>
      </c>
      <c r="C5" s="15"/>
      <c r="D5" s="16">
        <v>154</v>
      </c>
      <c r="E5" s="17"/>
      <c r="F5" s="17">
        <v>544</v>
      </c>
      <c r="G5" s="5" t="s">
        <v>85</v>
      </c>
      <c r="H5" s="6"/>
      <c r="I5" s="11"/>
      <c r="J5" s="7"/>
    </row>
    <row r="6" spans="1:23" x14ac:dyDescent="0.35">
      <c r="A6" s="14">
        <v>35</v>
      </c>
      <c r="B6" s="15" t="s">
        <v>100</v>
      </c>
      <c r="C6" s="15" t="s">
        <v>100</v>
      </c>
      <c r="D6" s="16">
        <v>116</v>
      </c>
      <c r="E6" s="17">
        <v>10.199999999999999</v>
      </c>
      <c r="F6" s="17">
        <v>749</v>
      </c>
      <c r="G6" s="5" t="s">
        <v>83</v>
      </c>
      <c r="H6" s="10" t="s">
        <v>18</v>
      </c>
      <c r="I6" s="11" t="s">
        <v>19</v>
      </c>
      <c r="J6" s="7" t="s">
        <v>86</v>
      </c>
    </row>
    <row r="7" spans="1:23" x14ac:dyDescent="0.35">
      <c r="A7" s="14">
        <v>36</v>
      </c>
      <c r="B7" s="15" t="s">
        <v>101</v>
      </c>
      <c r="C7" s="15" t="s">
        <v>101</v>
      </c>
      <c r="D7" s="16">
        <v>114</v>
      </c>
      <c r="E7" s="17">
        <v>14.8</v>
      </c>
      <c r="F7" s="17">
        <v>680</v>
      </c>
      <c r="G7" s="5" t="s">
        <v>102</v>
      </c>
      <c r="H7" s="10" t="s">
        <v>18</v>
      </c>
      <c r="I7" s="11" t="s">
        <v>19</v>
      </c>
      <c r="J7" s="7" t="s">
        <v>86</v>
      </c>
    </row>
    <row r="8" spans="1:23" x14ac:dyDescent="0.35">
      <c r="B8" t="s">
        <v>105</v>
      </c>
      <c r="C8" t="s">
        <v>105</v>
      </c>
      <c r="D8" s="16">
        <v>115</v>
      </c>
      <c r="E8" s="17">
        <v>8</v>
      </c>
      <c r="F8" s="17">
        <v>413</v>
      </c>
      <c r="G8" s="18" t="s">
        <v>92</v>
      </c>
      <c r="H8" s="6" t="s">
        <v>12</v>
      </c>
      <c r="I8" s="11" t="s">
        <v>93</v>
      </c>
      <c r="J8" s="7" t="s">
        <v>86</v>
      </c>
    </row>
    <row r="9" spans="1:23" ht="15" customHeight="1" x14ac:dyDescent="0.35">
      <c r="A9" s="2">
        <v>54</v>
      </c>
      <c r="B9" s="20" t="s">
        <v>168</v>
      </c>
      <c r="C9" s="20"/>
      <c r="D9" s="22">
        <v>103</v>
      </c>
      <c r="E9" s="21">
        <v>8.1</v>
      </c>
      <c r="F9" s="21">
        <v>780</v>
      </c>
      <c r="G9" s="20" t="s">
        <v>83</v>
      </c>
      <c r="I9" s="23"/>
      <c r="K9" s="30"/>
      <c r="L9" s="20"/>
      <c r="M9" s="24"/>
      <c r="N9" s="25"/>
      <c r="O9" s="26"/>
    </row>
    <row r="10" spans="1:23" ht="15" customHeight="1" x14ac:dyDescent="0.35">
      <c r="A10" s="2">
        <v>15</v>
      </c>
      <c r="B10" s="3" t="s">
        <v>55</v>
      </c>
      <c r="C10" s="3" t="s">
        <v>55</v>
      </c>
      <c r="D10" s="9" t="s">
        <v>87</v>
      </c>
      <c r="E10" s="9" t="s">
        <v>87</v>
      </c>
      <c r="F10" s="3" t="s">
        <v>163</v>
      </c>
      <c r="G10" s="5" t="s">
        <v>51</v>
      </c>
      <c r="H10" s="4">
        <v>741</v>
      </c>
      <c r="I10" s="33">
        <v>190</v>
      </c>
      <c r="J10" s="39" t="s">
        <v>224</v>
      </c>
      <c r="L10" s="37">
        <v>5.6</v>
      </c>
      <c r="M10" s="4"/>
      <c r="N10" s="35" t="s">
        <v>175</v>
      </c>
      <c r="O10" s="35" t="s">
        <v>223</v>
      </c>
      <c r="P10" s="4">
        <f t="shared" ref="P10:P11" si="0">H10-Q10</f>
        <v>190</v>
      </c>
      <c r="Q10" s="4">
        <v>551</v>
      </c>
      <c r="R10" s="4"/>
      <c r="S10" s="12" t="s">
        <v>30</v>
      </c>
      <c r="T10" s="11" t="s">
        <v>19</v>
      </c>
      <c r="U10" s="13" t="s">
        <v>52</v>
      </c>
    </row>
    <row r="11" spans="1:23" s="54" customFormat="1" ht="15" customHeight="1" x14ac:dyDescent="0.35">
      <c r="A11" s="43">
        <v>15</v>
      </c>
      <c r="B11" s="44" t="s">
        <v>56</v>
      </c>
      <c r="C11" s="44" t="s">
        <v>33</v>
      </c>
      <c r="D11" s="44" t="s">
        <v>160</v>
      </c>
      <c r="E11" s="44" t="s">
        <v>160</v>
      </c>
      <c r="F11" s="44" t="s">
        <v>164</v>
      </c>
      <c r="G11" s="45" t="s">
        <v>57</v>
      </c>
      <c r="H11" s="46">
        <v>872</v>
      </c>
      <c r="I11" s="47">
        <v>279</v>
      </c>
      <c r="J11" s="55"/>
      <c r="K11" s="48" t="s">
        <v>243</v>
      </c>
      <c r="L11" s="49">
        <v>3.8</v>
      </c>
      <c r="M11" s="46"/>
      <c r="N11" s="50" t="s">
        <v>174</v>
      </c>
      <c r="O11" s="50" t="s">
        <v>225</v>
      </c>
      <c r="P11" s="46">
        <f t="shared" si="0"/>
        <v>279</v>
      </c>
      <c r="Q11" s="46">
        <v>593</v>
      </c>
      <c r="R11" s="46"/>
      <c r="S11" s="51" t="s">
        <v>18</v>
      </c>
      <c r="T11" s="52" t="s">
        <v>35</v>
      </c>
      <c r="U11" s="53" t="s">
        <v>58</v>
      </c>
    </row>
    <row r="12" spans="1:23" ht="15" customHeight="1" x14ac:dyDescent="0.35">
      <c r="A12" s="8">
        <v>42</v>
      </c>
      <c r="B12" s="40" t="s">
        <v>138</v>
      </c>
      <c r="C12" s="27"/>
      <c r="D12" s="9" t="s">
        <v>160</v>
      </c>
      <c r="E12" s="9" t="s">
        <v>160</v>
      </c>
      <c r="F12" s="27" t="s">
        <v>166</v>
      </c>
      <c r="G12" s="27" t="s">
        <v>139</v>
      </c>
      <c r="H12" s="28">
        <v>510</v>
      </c>
      <c r="I12" s="42">
        <v>120</v>
      </c>
      <c r="J12" s="56" t="s">
        <v>224</v>
      </c>
      <c r="K12" s="29" t="s">
        <v>243</v>
      </c>
      <c r="L12" s="38">
        <v>4.8</v>
      </c>
      <c r="M12" s="29" t="s">
        <v>243</v>
      </c>
      <c r="N12" s="27" t="s">
        <v>268</v>
      </c>
      <c r="O12" s="27" t="s">
        <v>273</v>
      </c>
      <c r="P12" s="27">
        <f>H12-Q12</f>
        <v>120</v>
      </c>
      <c r="Q12" s="27">
        <v>390</v>
      </c>
      <c r="R12" s="27" t="s">
        <v>269</v>
      </c>
      <c r="S12" s="31" t="s">
        <v>140</v>
      </c>
      <c r="T12" s="25" t="s">
        <v>19</v>
      </c>
      <c r="U12" s="32" t="s">
        <v>26</v>
      </c>
    </row>
    <row r="13" spans="1:23" x14ac:dyDescent="0.35">
      <c r="A13" s="57">
        <v>36</v>
      </c>
      <c r="B13" s="117" t="s">
        <v>127</v>
      </c>
      <c r="C13" s="117"/>
      <c r="D13" s="117"/>
      <c r="E13" s="119" t="s">
        <v>160</v>
      </c>
      <c r="F13" s="94" t="s">
        <v>160</v>
      </c>
      <c r="G13" s="117" t="s">
        <v>165</v>
      </c>
      <c r="H13" s="117" t="s">
        <v>129</v>
      </c>
      <c r="I13" s="101">
        <v>607</v>
      </c>
      <c r="J13" s="102">
        <v>45</v>
      </c>
      <c r="K13" s="124" t="s">
        <v>183</v>
      </c>
      <c r="L13" s="100" t="s">
        <v>243</v>
      </c>
      <c r="M13" s="99">
        <v>2</v>
      </c>
      <c r="N13" s="100" t="s">
        <v>243</v>
      </c>
      <c r="O13" s="117" t="s">
        <v>128</v>
      </c>
      <c r="P13" s="117" t="s">
        <v>257</v>
      </c>
      <c r="Q13" s="118">
        <f>I13-R13</f>
        <v>45</v>
      </c>
      <c r="R13" s="117">
        <v>562</v>
      </c>
      <c r="S13" s="117"/>
      <c r="T13" s="131" t="s">
        <v>30</v>
      </c>
      <c r="U13" s="88" t="s">
        <v>35</v>
      </c>
      <c r="V13" s="134" t="s">
        <v>58</v>
      </c>
    </row>
    <row r="14" spans="1:23" s="103" customFormat="1" x14ac:dyDescent="0.35">
      <c r="A14" s="115">
        <v>40</v>
      </c>
      <c r="B14" s="117" t="s">
        <v>136</v>
      </c>
      <c r="C14" s="117"/>
      <c r="D14" s="117"/>
      <c r="E14" s="119" t="s">
        <v>160</v>
      </c>
      <c r="F14" s="94" t="s">
        <v>160</v>
      </c>
      <c r="G14" s="77" t="s">
        <v>163</v>
      </c>
      <c r="H14" s="117" t="s">
        <v>137</v>
      </c>
      <c r="I14" s="101">
        <v>515</v>
      </c>
      <c r="J14" s="122">
        <v>75</v>
      </c>
      <c r="K14" s="124" t="s">
        <v>183</v>
      </c>
      <c r="L14" s="126" t="s">
        <v>243</v>
      </c>
      <c r="M14" s="127">
        <v>1.6</v>
      </c>
      <c r="N14" s="126" t="s">
        <v>243</v>
      </c>
      <c r="O14" s="117" t="s">
        <v>264</v>
      </c>
      <c r="P14" s="117" t="s">
        <v>265</v>
      </c>
      <c r="Q14" s="117">
        <f>I14-R14</f>
        <v>75</v>
      </c>
      <c r="R14" s="117">
        <v>440</v>
      </c>
      <c r="S14" s="117"/>
      <c r="T14" s="131" t="s">
        <v>30</v>
      </c>
      <c r="U14" s="88" t="s">
        <v>35</v>
      </c>
      <c r="V14" s="134" t="s">
        <v>117</v>
      </c>
    </row>
    <row r="15" spans="1:23" x14ac:dyDescent="0.35">
      <c r="A15" s="57">
        <v>33</v>
      </c>
      <c r="B15" s="117" t="s">
        <v>122</v>
      </c>
      <c r="C15" s="117"/>
      <c r="D15" s="117"/>
      <c r="E15" s="119" t="s">
        <v>160</v>
      </c>
      <c r="F15" s="94" t="s">
        <v>160</v>
      </c>
      <c r="G15" s="117" t="s">
        <v>162</v>
      </c>
      <c r="H15" s="117" t="s">
        <v>123</v>
      </c>
      <c r="I15" s="101">
        <v>673</v>
      </c>
      <c r="J15" s="102">
        <v>33</v>
      </c>
      <c r="K15" s="124" t="s">
        <v>183</v>
      </c>
      <c r="L15" s="125" t="s">
        <v>243</v>
      </c>
      <c r="M15" s="99">
        <v>2.7</v>
      </c>
      <c r="N15" s="98" t="s">
        <v>243</v>
      </c>
      <c r="O15" s="117" t="s">
        <v>251</v>
      </c>
      <c r="P15" s="117" t="s">
        <v>252</v>
      </c>
      <c r="Q15" s="118">
        <f>I15-R15</f>
        <v>33</v>
      </c>
      <c r="R15" s="117">
        <v>640</v>
      </c>
      <c r="S15" s="117"/>
      <c r="T15" s="130" t="s">
        <v>12</v>
      </c>
      <c r="U15" s="86" t="s">
        <v>19</v>
      </c>
      <c r="V15" s="133" t="s">
        <v>31</v>
      </c>
    </row>
    <row r="16" spans="1:23" x14ac:dyDescent="0.35">
      <c r="A16" s="57">
        <v>56</v>
      </c>
      <c r="B16" s="117" t="s">
        <v>151</v>
      </c>
      <c r="C16" s="117"/>
      <c r="D16" s="117"/>
      <c r="E16" s="119" t="s">
        <v>160</v>
      </c>
      <c r="F16" s="94" t="s">
        <v>160</v>
      </c>
      <c r="G16" s="94" t="s">
        <v>160</v>
      </c>
      <c r="H16" s="119" t="s">
        <v>165</v>
      </c>
      <c r="I16" s="117" t="s">
        <v>152</v>
      </c>
      <c r="J16" s="101">
        <v>405</v>
      </c>
      <c r="K16" s="102">
        <v>20</v>
      </c>
      <c r="L16" s="124" t="s">
        <v>183</v>
      </c>
      <c r="M16" s="98" t="s">
        <v>243</v>
      </c>
      <c r="N16" s="99">
        <v>4.4000000000000004</v>
      </c>
      <c r="O16" s="98" t="s">
        <v>243</v>
      </c>
      <c r="P16" s="117" t="s">
        <v>280</v>
      </c>
      <c r="Q16" s="117" t="s">
        <v>281</v>
      </c>
      <c r="R16" s="94">
        <f>J16-S16</f>
        <v>20</v>
      </c>
      <c r="S16" s="117">
        <v>385</v>
      </c>
      <c r="T16" s="117"/>
      <c r="U16" s="131" t="s">
        <v>30</v>
      </c>
      <c r="V16" s="88" t="s">
        <v>35</v>
      </c>
      <c r="W16" s="134" t="s">
        <v>43</v>
      </c>
    </row>
    <row r="17" spans="1:23" ht="15" customHeight="1" x14ac:dyDescent="0.35">
      <c r="A17" s="57">
        <v>54</v>
      </c>
      <c r="B17" s="116" t="s">
        <v>174</v>
      </c>
      <c r="C17" s="116"/>
      <c r="D17" s="116"/>
      <c r="E17" s="58" t="s">
        <v>160</v>
      </c>
      <c r="F17" s="58" t="s">
        <v>87</v>
      </c>
      <c r="G17" s="121" t="s">
        <v>160</v>
      </c>
      <c r="H17" s="116" t="s">
        <v>164</v>
      </c>
      <c r="I17" s="116" t="s">
        <v>57</v>
      </c>
      <c r="J17" s="81">
        <v>900</v>
      </c>
      <c r="K17" s="82">
        <v>236</v>
      </c>
      <c r="L17" s="80" t="s">
        <v>184</v>
      </c>
      <c r="M17" s="84" t="s">
        <v>243</v>
      </c>
      <c r="N17" s="63">
        <v>11.6</v>
      </c>
      <c r="O17" s="84" t="s">
        <v>243</v>
      </c>
      <c r="P17" s="116" t="s">
        <v>287</v>
      </c>
      <c r="Q17" s="116" t="s">
        <v>288</v>
      </c>
      <c r="R17" s="58">
        <f>J17-S17</f>
        <v>236</v>
      </c>
      <c r="S17" s="116">
        <v>664</v>
      </c>
      <c r="T17" s="116"/>
      <c r="U17" s="116"/>
      <c r="V17" s="66" t="s">
        <v>13</v>
      </c>
      <c r="W17" s="116"/>
    </row>
    <row r="18" spans="1:23" ht="15" customHeight="1" x14ac:dyDescent="0.35">
      <c r="A18" s="57">
        <v>59</v>
      </c>
      <c r="B18" s="116" t="s">
        <v>107</v>
      </c>
      <c r="C18" s="116" t="s">
        <v>74</v>
      </c>
      <c r="D18" s="116"/>
      <c r="E18" s="116"/>
      <c r="F18" s="58" t="s">
        <v>87</v>
      </c>
      <c r="G18" s="121" t="s">
        <v>160</v>
      </c>
      <c r="H18" s="116" t="s">
        <v>75</v>
      </c>
      <c r="I18" s="116" t="s">
        <v>162</v>
      </c>
      <c r="J18" s="60">
        <v>1124</v>
      </c>
      <c r="K18" s="61">
        <v>184</v>
      </c>
      <c r="L18" s="123" t="s">
        <v>184</v>
      </c>
      <c r="M18" s="84" t="s">
        <v>243</v>
      </c>
      <c r="N18" s="63">
        <v>11.2</v>
      </c>
      <c r="O18" s="84" t="s">
        <v>243</v>
      </c>
      <c r="P18" s="129" t="s">
        <v>73</v>
      </c>
      <c r="Q18" s="129" t="s">
        <v>308</v>
      </c>
      <c r="R18" s="58">
        <f>J18-S18</f>
        <v>184</v>
      </c>
      <c r="S18" s="116">
        <v>940</v>
      </c>
      <c r="T18" s="116"/>
      <c r="U18" s="116"/>
      <c r="V18" s="86" t="s">
        <v>19</v>
      </c>
      <c r="W18" s="116"/>
    </row>
    <row r="19" spans="1:23" ht="15" customHeight="1" x14ac:dyDescent="0.35">
      <c r="A19" s="57">
        <v>58</v>
      </c>
      <c r="B19" s="116" t="s">
        <v>104</v>
      </c>
      <c r="C19" s="116"/>
      <c r="D19" s="116"/>
      <c r="E19" s="116"/>
      <c r="F19" s="58" t="s">
        <v>87</v>
      </c>
      <c r="G19" s="121" t="s">
        <v>160</v>
      </c>
      <c r="H19" s="116" t="s">
        <v>306</v>
      </c>
      <c r="I19" s="116" t="s">
        <v>103</v>
      </c>
      <c r="J19" s="81">
        <v>382</v>
      </c>
      <c r="K19" s="82">
        <v>130</v>
      </c>
      <c r="L19" s="123" t="s">
        <v>184</v>
      </c>
      <c r="M19" s="84" t="s">
        <v>243</v>
      </c>
      <c r="N19" s="63">
        <v>13.4</v>
      </c>
      <c r="O19" s="84" t="s">
        <v>243</v>
      </c>
      <c r="P19" s="129" t="s">
        <v>143</v>
      </c>
      <c r="Q19" s="129" t="s">
        <v>307</v>
      </c>
      <c r="R19" s="58">
        <f>J19-S19</f>
        <v>130</v>
      </c>
      <c r="S19" s="116">
        <v>252</v>
      </c>
      <c r="T19" s="116"/>
      <c r="U19" s="116"/>
      <c r="V19" s="88" t="s">
        <v>35</v>
      </c>
      <c r="W19" s="116"/>
    </row>
    <row r="20" spans="1:23" ht="15" customHeight="1" x14ac:dyDescent="0.35">
      <c r="A20" s="57">
        <v>14</v>
      </c>
      <c r="B20" s="121" t="s">
        <v>53</v>
      </c>
      <c r="C20" s="58" t="s">
        <v>54</v>
      </c>
      <c r="D20" s="58"/>
      <c r="E20" s="58" t="s">
        <v>87</v>
      </c>
      <c r="F20" s="58" t="s">
        <v>87</v>
      </c>
      <c r="G20" s="58" t="s">
        <v>160</v>
      </c>
      <c r="H20" s="58" t="s">
        <v>162</v>
      </c>
      <c r="I20" s="59" t="s">
        <v>11</v>
      </c>
      <c r="J20" s="60">
        <v>1509</v>
      </c>
      <c r="K20" s="61">
        <v>312</v>
      </c>
      <c r="L20" s="78" t="s">
        <v>178</v>
      </c>
      <c r="M20" s="69" t="s">
        <v>243</v>
      </c>
      <c r="N20" s="63">
        <v>9.6999999999999993</v>
      </c>
      <c r="O20" s="60"/>
      <c r="P20" s="73" t="s">
        <v>221</v>
      </c>
      <c r="Q20" s="73" t="s">
        <v>222</v>
      </c>
      <c r="R20" s="60">
        <f>J20-S20</f>
        <v>312</v>
      </c>
      <c r="S20" s="60">
        <v>1197</v>
      </c>
      <c r="T20" s="60"/>
      <c r="U20" s="65" t="s">
        <v>12</v>
      </c>
      <c r="V20" s="66" t="s">
        <v>13</v>
      </c>
      <c r="W20" s="67" t="s">
        <v>52</v>
      </c>
    </row>
    <row r="21" spans="1:23" x14ac:dyDescent="0.35">
      <c r="A21" s="57">
        <v>15</v>
      </c>
      <c r="B21" s="121" t="s">
        <v>300</v>
      </c>
      <c r="C21" s="58" t="s">
        <v>90</v>
      </c>
      <c r="D21" s="58"/>
      <c r="E21" s="58" t="s">
        <v>160</v>
      </c>
      <c r="F21" s="58" t="s">
        <v>87</v>
      </c>
      <c r="G21" s="58" t="s">
        <v>160</v>
      </c>
      <c r="H21" s="58" t="s">
        <v>162</v>
      </c>
      <c r="I21" s="59" t="s">
        <v>333</v>
      </c>
      <c r="J21" s="60">
        <v>745</v>
      </c>
      <c r="K21" s="61">
        <v>295</v>
      </c>
      <c r="L21" s="80" t="s">
        <v>184</v>
      </c>
      <c r="M21" s="69" t="s">
        <v>243</v>
      </c>
      <c r="N21" s="63">
        <v>13.2</v>
      </c>
      <c r="O21" s="60"/>
      <c r="P21" s="73" t="s">
        <v>226</v>
      </c>
      <c r="Q21" s="73" t="s">
        <v>227</v>
      </c>
      <c r="R21" s="60">
        <f>J21-S21</f>
        <v>295</v>
      </c>
      <c r="S21" s="60">
        <v>450</v>
      </c>
      <c r="T21" s="60"/>
      <c r="U21" s="65" t="s">
        <v>12</v>
      </c>
      <c r="V21" s="71" t="s">
        <v>19</v>
      </c>
      <c r="W21" s="75" t="s">
        <v>58</v>
      </c>
    </row>
    <row r="22" spans="1:23" ht="15" customHeight="1" x14ac:dyDescent="0.35">
      <c r="A22" s="57">
        <v>61</v>
      </c>
      <c r="B22" s="120" t="s">
        <v>314</v>
      </c>
      <c r="C22" s="116" t="s">
        <v>100</v>
      </c>
      <c r="D22" s="116"/>
      <c r="E22" s="116"/>
      <c r="F22" s="58" t="s">
        <v>87</v>
      </c>
      <c r="G22" s="58" t="s">
        <v>160</v>
      </c>
      <c r="H22" s="116" t="s">
        <v>167</v>
      </c>
      <c r="I22" s="116" t="s">
        <v>309</v>
      </c>
      <c r="J22" s="60">
        <v>749</v>
      </c>
      <c r="K22" s="61">
        <v>111</v>
      </c>
      <c r="L22" s="123" t="s">
        <v>184</v>
      </c>
      <c r="M22" s="84" t="s">
        <v>243</v>
      </c>
      <c r="N22" s="63">
        <v>10.6</v>
      </c>
      <c r="O22" s="84" t="s">
        <v>243</v>
      </c>
      <c r="P22" s="129" t="s">
        <v>312</v>
      </c>
      <c r="Q22" s="129" t="s">
        <v>313</v>
      </c>
      <c r="R22" s="58">
        <f>J22-S22</f>
        <v>111</v>
      </c>
      <c r="S22" s="116">
        <v>638</v>
      </c>
      <c r="T22" s="116"/>
      <c r="U22" s="116"/>
      <c r="V22" s="86" t="s">
        <v>19</v>
      </c>
      <c r="W22" s="116"/>
    </row>
    <row r="23" spans="1:23" ht="15" customHeight="1" x14ac:dyDescent="0.35">
      <c r="A23" s="57">
        <v>63</v>
      </c>
      <c r="B23" s="120" t="s">
        <v>319</v>
      </c>
      <c r="C23" s="116" t="s">
        <v>320</v>
      </c>
      <c r="D23" s="116"/>
      <c r="E23" s="116"/>
      <c r="F23" s="58" t="s">
        <v>87</v>
      </c>
      <c r="G23" s="58" t="s">
        <v>160</v>
      </c>
      <c r="H23" s="116" t="s">
        <v>162</v>
      </c>
      <c r="I23" s="116" t="s">
        <v>316</v>
      </c>
      <c r="J23" s="60">
        <v>613</v>
      </c>
      <c r="K23" s="61">
        <v>178</v>
      </c>
      <c r="L23" s="123" t="s">
        <v>184</v>
      </c>
      <c r="M23" s="84" t="s">
        <v>243</v>
      </c>
      <c r="N23" s="63">
        <v>10.5</v>
      </c>
      <c r="O23" s="84" t="s">
        <v>243</v>
      </c>
      <c r="P23" s="129" t="s">
        <v>321</v>
      </c>
      <c r="Q23" s="129"/>
      <c r="R23" s="58">
        <f>J23-S23</f>
        <v>178</v>
      </c>
      <c r="S23" s="116">
        <v>435</v>
      </c>
      <c r="T23" s="116" t="s">
        <v>322</v>
      </c>
      <c r="U23" s="116"/>
      <c r="V23" s="86" t="s">
        <v>19</v>
      </c>
      <c r="W23" s="116"/>
    </row>
    <row r="24" spans="1:23" x14ac:dyDescent="0.35">
      <c r="A24" s="57">
        <v>45</v>
      </c>
      <c r="B24" s="117" t="s">
        <v>147</v>
      </c>
      <c r="C24" s="117"/>
      <c r="D24" s="117"/>
      <c r="E24" s="119" t="s">
        <v>160</v>
      </c>
      <c r="F24" s="58" t="s">
        <v>160</v>
      </c>
      <c r="G24" s="58" t="s">
        <v>160</v>
      </c>
      <c r="H24" s="117" t="s">
        <v>303</v>
      </c>
      <c r="I24" s="117" t="s">
        <v>148</v>
      </c>
      <c r="J24" s="101">
        <v>493</v>
      </c>
      <c r="K24" s="102">
        <v>133</v>
      </c>
      <c r="L24" s="154" t="s">
        <v>183</v>
      </c>
      <c r="M24" s="100" t="s">
        <v>243</v>
      </c>
      <c r="N24" s="99">
        <v>2.7</v>
      </c>
      <c r="O24" s="100" t="s">
        <v>243</v>
      </c>
      <c r="P24" s="117" t="s">
        <v>276</v>
      </c>
      <c r="Q24" s="117" t="s">
        <v>277</v>
      </c>
      <c r="R24" s="77">
        <f>J24-S24</f>
        <v>133</v>
      </c>
      <c r="S24" s="117">
        <v>360</v>
      </c>
      <c r="T24" s="117"/>
      <c r="U24" s="140" t="s">
        <v>149</v>
      </c>
      <c r="V24" s="88" t="s">
        <v>35</v>
      </c>
      <c r="W24" s="141" t="s">
        <v>117</v>
      </c>
    </row>
    <row r="25" spans="1:23" ht="15" customHeight="1" x14ac:dyDescent="0.35">
      <c r="A25" s="57">
        <v>55</v>
      </c>
      <c r="B25" s="116" t="s">
        <v>175</v>
      </c>
      <c r="C25" s="116" t="s">
        <v>175</v>
      </c>
      <c r="D25" s="116"/>
      <c r="E25" s="58" t="s">
        <v>160</v>
      </c>
      <c r="F25" s="58" t="s">
        <v>87</v>
      </c>
      <c r="G25" s="121" t="s">
        <v>160</v>
      </c>
      <c r="H25" s="116" t="s">
        <v>163</v>
      </c>
      <c r="I25" s="116" t="s">
        <v>65</v>
      </c>
      <c r="J25" s="60">
        <v>786</v>
      </c>
      <c r="K25" s="61">
        <v>196</v>
      </c>
      <c r="L25" s="123" t="s">
        <v>184</v>
      </c>
      <c r="M25" s="84" t="s">
        <v>243</v>
      </c>
      <c r="N25" s="63">
        <v>11.8</v>
      </c>
      <c r="O25" s="84" t="s">
        <v>243</v>
      </c>
      <c r="P25" s="129" t="s">
        <v>239</v>
      </c>
      <c r="Q25" s="129" t="s">
        <v>240</v>
      </c>
      <c r="R25" s="58">
        <f>J25-S25</f>
        <v>196</v>
      </c>
      <c r="S25" s="116">
        <v>590</v>
      </c>
      <c r="T25" s="116"/>
      <c r="U25" s="116"/>
      <c r="V25" s="86" t="s">
        <v>19</v>
      </c>
      <c r="W25" s="116"/>
    </row>
  </sheetData>
  <pageMargins left="0.7" right="0.7" top="0.75" bottom="0.75" header="0.3" footer="0.3"/>
  <pageSetup paperSize="9" orientation="portrait" horizontalDpi="0" verticalDpi="0" r:id="rId1"/>
  <rowBreaks count="1" manualBreakCount="1">
    <brk id="4" max="16383" man="1"/>
  </rowBreaks>
  <colBreaks count="1" manualBreakCount="1">
    <brk id="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Korona Sudetów</vt:lpstr>
      <vt:lpstr>Kandydaci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Wojciech Rogala</cp:lastModifiedBy>
  <dcterms:created xsi:type="dcterms:W3CDTF">2026-05-23T07:15:37Z</dcterms:created>
  <dcterms:modified xsi:type="dcterms:W3CDTF">2026-09-21T15:29:51Z</dcterms:modified>
</cp:coreProperties>
</file>